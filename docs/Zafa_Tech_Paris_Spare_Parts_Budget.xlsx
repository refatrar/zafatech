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9555b699142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1c282e22ab044d5"/>
    <x:sheet xmlns:r="http://schemas.openxmlformats.org/officeDocument/2006/relationships" name="iPhone LCD" sheetId="2" r:id="Re311e5f601a7491e"/>
    <x:sheet xmlns:r="http://schemas.openxmlformats.org/officeDocument/2006/relationships" name="iPhone Back Parts" sheetId="3" r:id="R5323a477fbff455c"/>
    <x:sheet xmlns:r="http://schemas.openxmlformats.org/officeDocument/2006/relationships" name="iPhone Charging" sheetId="4" r:id="R218901c2edb04aa2"/>
    <x:sheet xmlns:r="http://schemas.openxmlformats.org/officeDocument/2006/relationships" name="Samsung LCD" sheetId="5" r:id="R13e0a51cc09248e9"/>
    <x:sheet xmlns:r="http://schemas.openxmlformats.org/officeDocument/2006/relationships" name="Samsung Charging" sheetId="6" r:id="R4213a8bf734049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€#,##0.00"/>
    <x:numFmt numFmtId="201" formatCode="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283F"/>
      </x:patternFill>
    </x:fill>
    <x:fill>
      <x:patternFill patternType="solid">
        <x:fgColor rgb="FF087F8C"/>
      </x:patternFill>
    </x:fill>
    <x:fill>
      <x:patternFill patternType="solid">
        <x:fgColor rgb="FFE8F4F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0" borderId="0" xfId="0" applyNumberFormat="1" applyFont="1" applyFill="1" applyBorder="1"/>
    <x:xf numFmtId="200" fontId="0" fillId="4" borderId="1" xfId="0" applyNumberFormat="1" applyFont="1" applyFill="1" applyBorder="1"/>
    <x:xf numFmtId="200" fontId="0" fillId="0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200" fontId="0" fillId="2" borderId="0" xfId="0" applyNumberFormat="1" applyFont="1" applyFill="1" applyBorder="1"/>
    <x:xf numFmtId="200" fontId="2" fillId="2" borderId="0" xfId="0" applyNumberFormat="1" applyFont="1" applyFill="1" applyBorder="1"/>
    <x:xf numFmtId="200" fontId="0" fillId="2" borderId="1" xfId="0" applyNumberFormat="1" applyFont="1" applyFill="1" applyBorder="1"/>
    <x:xf numFmtId="20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ee4acdd314c69" /><Relationship Type="http://schemas.openxmlformats.org/officeDocument/2006/relationships/theme" Target="/xl/theme/theme1.xml" Id="R86493d5cc79c4a0c" /><Relationship Type="http://schemas.openxmlformats.org/officeDocument/2006/relationships/sharedStrings" Target="/xl/sharedStrings.xml" Id="R4badb29731a14895" /><Relationship Type="http://schemas.openxmlformats.org/officeDocument/2006/relationships/worksheet" Target="/xl/worksheets/sheet1.xml" Id="R31c282e22ab044d5" /><Relationship Type="http://schemas.openxmlformats.org/officeDocument/2006/relationships/worksheet" Target="/xl/worksheets/sheet2.xml" Id="Re311e5f601a7491e" /><Relationship Type="http://schemas.openxmlformats.org/officeDocument/2006/relationships/worksheet" Target="/xl/worksheets/sheet3.xml" Id="R5323a477fbff455c" /><Relationship Type="http://schemas.openxmlformats.org/officeDocument/2006/relationships/worksheet" Target="/xl/worksheets/sheet4.xml" Id="R218901c2edb04aa2" /><Relationship Type="http://schemas.openxmlformats.org/officeDocument/2006/relationships/worksheet" Target="/xl/worksheets/sheet5.xml" Id="R13e0a51cc09248e9" /><Relationship Type="http://schemas.openxmlformats.org/officeDocument/2006/relationships/worksheet" Target="/xl/worksheets/sheet6.xml" Id="R4213a8bf734049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9" hidden="0" customWidth="1"/>
  </x:cols>
  <x:sheetData>
    <x:row r="1" ht="26" customHeight="1">
      <x:c r="A1" s="3" t="str">
        <x:v>ZAFA TECH PARIS  |  PARTS BUDGET</x:v>
      </x:c>
      <x:c r="B1" s="3"/>
      <x:c r="C1" s="3"/>
      <x:c r="D1" s="3"/>
      <x:c r="E1" s="3"/>
      <x:c r="F1" s="3"/>
    </x:row>
    <x:row r="2" ht="26" customHeight="1">
      <x:c r="A2" s="3"/>
      <x:c r="B2" s="3"/>
      <x:c r="C2" s="3"/>
      <x:c r="D2" s="3"/>
      <x:c r="E2" s="3"/>
      <x:c r="F2" s="3"/>
    </x:row>
    <x:row r="4" ht="30" customHeight="1">
      <x:c r="A4" s="7" t="str">
        <x:v>Category</x:v>
      </x:c>
      <x:c r="B4" s="7" t="str">
        <x:v>Total (€)</x:v>
      </x:c>
    </x:row>
    <x:row r="5">
      <x:c r="A5" t="str">
        <x:v>iPhone LCD</x:v>
      </x:c>
      <x:c r="B5" s="19" t="n">
        <x:f>'iPhone LCD'!E148</x:f>
        <x:v>0</x:v>
      </x:c>
    </x:row>
    <x:row r="6">
      <x:c r="A6" t="str">
        <x:v>iPhone Back Parts</x:v>
      </x:c>
      <x:c r="B6" s="19" t="n">
        <x:f>'iPhone Back Parts'!E101</x:f>
        <x:v>0</x:v>
      </x:c>
    </x:row>
    <x:row r="7">
      <x:c r="A7" t="str">
        <x:v>iPhone Charging</x:v>
      </x:c>
      <x:c r="B7" s="19" t="n">
        <x:f>'iPhone Charging'!E54</x:f>
        <x:v>0</x:v>
      </x:c>
    </x:row>
    <x:row r="8">
      <x:c r="A8" t="str">
        <x:v>Samsung LCD</x:v>
      </x:c>
      <x:c r="B8" s="19" t="n">
        <x:f>'Samsung LCD'!E203</x:f>
        <x:v>0</x:v>
      </x:c>
    </x:row>
    <x:row r="9">
      <x:c r="A9" t="str">
        <x:v>Samsung Charging</x:v>
      </x:c>
      <x:c r="B9" s="19" t="n">
        <x:f>'Samsung Charging'!E105</x:f>
        <x:v>0</x:v>
      </x:c>
    </x:row>
    <x:row r="10">
      <x:c r="B10" s="19"/>
    </x:row>
    <x:row r="11" ht="32" customHeight="1">
      <x:c r="A11" s="10" t="str">
        <x:v>GRAND TOTAL (€)</x:v>
      </x:c>
      <x:c r="B11" s="25" t="n">
        <x:f>SUM(B5:B9)</x:f>
        <x:v>0</x:v>
      </x:c>
    </x:row>
    <x:row r="13">
      <x:c r="A13" s="12" t="str">
        <x:v>How to use: enter Qty and Unit Price (€) in each category sheet. Totals update automatically.</x:v>
      </x:c>
      <x:c r="B13" s="12"/>
      <x:c r="C13" s="12"/>
      <x:c r="D13" s="12"/>
      <x:c r="E13" s="12"/>
      <x:c r="F13" s="12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29" hidden="0" customWidth="1"/>
    <x:col min="3" max="3" width="12" hidden="0" customWidth="1"/>
    <x:col min="4" max="4" width="20" hidden="0" customWidth="1"/>
    <x:col min="5" max="5" width="20" hidden="0" customWidth="1"/>
    <x:col min="6" max="6" width="33" hidden="0" customWidth="1"/>
  </x:cols>
  <x:sheetData>
    <x:row r="1" ht="25" customHeight="1">
      <x:c r="A1" s="14" t="str">
        <x:v>ZAFA TECH PARIS  |  IPHONE LCD</x:v>
      </x:c>
      <x:c r="B1" s="14"/>
      <x:c r="C1" s="14"/>
      <x:c r="D1" s="14"/>
      <x:c r="E1" s="14"/>
      <x:c r="F1" s="14"/>
    </x:row>
    <x:row r="2" ht="25" customHeight="1">
      <x:c r="A2" s="14"/>
      <x:c r="B2" s="14"/>
      <x:c r="C2" s="14"/>
      <x:c r="D2" s="14"/>
      <x:c r="E2" s="14"/>
      <x:c r="F2" s="14"/>
    </x:row>
    <x:row r="3">
      <x:c r="A3" t="str">
        <x:v>Fill in Qty and Unit Price (€). Blue cells are for your inputs.</x:v>
      </x:c>
    </x:row>
    <x:row r="5" ht="28" customHeight="1">
      <x:c r="A5" s="7" t="str">
        <x:v>Model</x:v>
      </x:c>
      <x:c r="B5" s="7" t="str">
        <x:v>Part Type</x:v>
      </x:c>
      <x:c r="C5" s="7" t="str">
        <x:v>Qty</x:v>
      </x:c>
      <x:c r="D5" s="7" t="str">
        <x:v>Unit Price (€)</x:v>
      </x:c>
      <x:c r="E5" s="7" t="str">
        <x:v>Total (€)</x:v>
      </x:c>
      <x:c r="F5" s="7" t="str">
        <x:v>Supplier / Notes</x:v>
      </x:c>
    </x:row>
    <x:row r="6">
      <x:c r="A6" t="str">
        <x:v>iPhone 5</x:v>
      </x:c>
      <x:c r="B6" t="str">
        <x:v>Normal LCD</x:v>
      </x:c>
      <x:c r="C6" s="22"/>
      <x:c r="D6" s="18"/>
      <x:c r="E6" s="19" t="str">
        <x:f>IF(OR(C6="",D6=""),"",C6*D6)</x:f>
      </x:c>
      <x:c r="F6"/>
    </x:row>
    <x:row r="7">
      <x:c r="A7" t="str">
        <x:v>iPhone 5</x:v>
      </x:c>
      <x:c r="B7" t="str">
        <x:v>Incell LCD</x:v>
      </x:c>
      <x:c r="C7" s="22"/>
      <x:c r="D7" s="18"/>
      <x:c r="E7" s="19" t="str">
        <x:f>IF(OR(C7="",D7=""),"",C7*D7)</x:f>
      </x:c>
      <x:c r="F7"/>
    </x:row>
    <x:row r="8">
      <x:c r="A8" t="str">
        <x:v>iPhone 5</x:v>
      </x:c>
      <x:c r="B8" t="str">
        <x:v>OLED / Original quality</x:v>
      </x:c>
      <x:c r="C8" s="22"/>
      <x:c r="D8" s="18"/>
      <x:c r="E8" s="19" t="str">
        <x:f>IF(OR(C8="",D8=""),"",C8*D8)</x:f>
      </x:c>
      <x:c r="F8"/>
    </x:row>
    <x:row r="9">
      <x:c r="A9" t="str">
        <x:v>iPhone 5c</x:v>
      </x:c>
      <x:c r="B9" t="str">
        <x:v>Normal LCD</x:v>
      </x:c>
      <x:c r="C9" s="22"/>
      <x:c r="D9" s="18"/>
      <x:c r="E9" s="19" t="str">
        <x:f>IF(OR(C9="",D9=""),"",C9*D9)</x:f>
      </x:c>
      <x:c r="F9"/>
    </x:row>
    <x:row r="10">
      <x:c r="A10" t="str">
        <x:v>iPhone 5c</x:v>
      </x:c>
      <x:c r="B10" t="str">
        <x:v>Incell LCD</x:v>
      </x:c>
      <x:c r="C10" s="22"/>
      <x:c r="D10" s="18"/>
      <x:c r="E10" s="19" t="str">
        <x:f>IF(OR(C10="",D10=""),"",C10*D10)</x:f>
      </x:c>
      <x:c r="F10"/>
    </x:row>
    <x:row r="11">
      <x:c r="A11" t="str">
        <x:v>iPhone 5c</x:v>
      </x:c>
      <x:c r="B11" t="str">
        <x:v>OLED / Original quality</x:v>
      </x:c>
      <x:c r="C11" s="22"/>
      <x:c r="D11" s="18"/>
      <x:c r="E11" s="19" t="str">
        <x:f>IF(OR(C11="",D11=""),"",C11*D11)</x:f>
      </x:c>
      <x:c r="F11"/>
    </x:row>
    <x:row r="12">
      <x:c r="A12" t="str">
        <x:v>iPhone 5s</x:v>
      </x:c>
      <x:c r="B12" t="str">
        <x:v>Normal LCD</x:v>
      </x:c>
      <x:c r="C12" s="22"/>
      <x:c r="D12" s="18"/>
      <x:c r="E12" s="19" t="str">
        <x:f>IF(OR(C12="",D12=""),"",C12*D12)</x:f>
      </x:c>
      <x:c r="F12"/>
    </x:row>
    <x:row r="13">
      <x:c r="A13" t="str">
        <x:v>iPhone 5s</x:v>
      </x:c>
      <x:c r="B13" t="str">
        <x:v>Incell LCD</x:v>
      </x:c>
      <x:c r="C13" s="22"/>
      <x:c r="D13" s="18"/>
      <x:c r="E13" s="19" t="str">
        <x:f>IF(OR(C13="",D13=""),"",C13*D13)</x:f>
      </x:c>
      <x:c r="F13"/>
    </x:row>
    <x:row r="14">
      <x:c r="A14" t="str">
        <x:v>iPhone 5s</x:v>
      </x:c>
      <x:c r="B14" t="str">
        <x:v>OLED / Original quality</x:v>
      </x:c>
      <x:c r="C14" s="22"/>
      <x:c r="D14" s="18"/>
      <x:c r="E14" s="19" t="str">
        <x:f>IF(OR(C14="",D14=""),"",C14*D14)</x:f>
      </x:c>
      <x:c r="F14"/>
    </x:row>
    <x:row r="15">
      <x:c r="A15" t="str">
        <x:v>iPhone SE (2016)</x:v>
      </x:c>
      <x:c r="B15" t="str">
        <x:v>Normal LCD</x:v>
      </x:c>
      <x:c r="C15" s="22"/>
      <x:c r="D15" s="18"/>
      <x:c r="E15" s="19" t="str">
        <x:f>IF(OR(C15="",D15=""),"",C15*D15)</x:f>
      </x:c>
      <x:c r="F15"/>
    </x:row>
    <x:row r="16">
      <x:c r="A16" t="str">
        <x:v>iPhone SE (2016)</x:v>
      </x:c>
      <x:c r="B16" t="str">
        <x:v>Incell LCD</x:v>
      </x:c>
      <x:c r="C16" s="22"/>
      <x:c r="D16" s="18"/>
      <x:c r="E16" s="19" t="str">
        <x:f>IF(OR(C16="",D16=""),"",C16*D16)</x:f>
      </x:c>
      <x:c r="F16"/>
    </x:row>
    <x:row r="17">
      <x:c r="A17" t="str">
        <x:v>iPhone SE (2016)</x:v>
      </x:c>
      <x:c r="B17" t="str">
        <x:v>OLED / Original quality</x:v>
      </x:c>
      <x:c r="C17" s="22"/>
      <x:c r="D17" s="18"/>
      <x:c r="E17" s="19" t="str">
        <x:f>IF(OR(C17="",D17=""),"",C17*D17)</x:f>
      </x:c>
      <x:c r="F17"/>
    </x:row>
    <x:row r="18">
      <x:c r="A18" t="str">
        <x:v>iPhone 6</x:v>
      </x:c>
      <x:c r="B18" t="str">
        <x:v>Normal LCD</x:v>
      </x:c>
      <x:c r="C18" s="22"/>
      <x:c r="D18" s="18"/>
      <x:c r="E18" s="19" t="str">
        <x:f>IF(OR(C18="",D18=""),"",C18*D18)</x:f>
      </x:c>
      <x:c r="F18"/>
    </x:row>
    <x:row r="19">
      <x:c r="A19" t="str">
        <x:v>iPhone 6</x:v>
      </x:c>
      <x:c r="B19" t="str">
        <x:v>Incell LCD</x:v>
      </x:c>
      <x:c r="C19" s="22"/>
      <x:c r="D19" s="18"/>
      <x:c r="E19" s="19" t="str">
        <x:f>IF(OR(C19="",D19=""),"",C19*D19)</x:f>
      </x:c>
      <x:c r="F19"/>
    </x:row>
    <x:row r="20">
      <x:c r="A20" t="str">
        <x:v>iPhone 6</x:v>
      </x:c>
      <x:c r="B20" t="str">
        <x:v>OLED / Original quality</x:v>
      </x:c>
      <x:c r="C20" s="22"/>
      <x:c r="D20" s="18"/>
      <x:c r="E20" s="19" t="str">
        <x:f>IF(OR(C20="",D20=""),"",C20*D20)</x:f>
      </x:c>
      <x:c r="F20"/>
    </x:row>
    <x:row r="21">
      <x:c r="A21" t="str">
        <x:v>iPhone 6 Plus</x:v>
      </x:c>
      <x:c r="B21" t="str">
        <x:v>Normal LCD</x:v>
      </x:c>
      <x:c r="C21" s="22"/>
      <x:c r="D21" s="18"/>
      <x:c r="E21" s="19" t="str">
        <x:f>IF(OR(C21="",D21=""),"",C21*D21)</x:f>
      </x:c>
      <x:c r="F21"/>
    </x:row>
    <x:row r="22">
      <x:c r="A22" t="str">
        <x:v>iPhone 6 Plus</x:v>
      </x:c>
      <x:c r="B22" t="str">
        <x:v>Incell LCD</x:v>
      </x:c>
      <x:c r="C22" s="22"/>
      <x:c r="D22" s="18"/>
      <x:c r="E22" s="19" t="str">
        <x:f>IF(OR(C22="",D22=""),"",C22*D22)</x:f>
      </x:c>
      <x:c r="F22"/>
    </x:row>
    <x:row r="23">
      <x:c r="A23" t="str">
        <x:v>iPhone 6 Plus</x:v>
      </x:c>
      <x:c r="B23" t="str">
        <x:v>OLED / Original quality</x:v>
      </x:c>
      <x:c r="C23" s="22"/>
      <x:c r="D23" s="18"/>
      <x:c r="E23" s="19" t="str">
        <x:f>IF(OR(C23="",D23=""),"",C23*D23)</x:f>
      </x:c>
      <x:c r="F23"/>
    </x:row>
    <x:row r="24">
      <x:c r="A24" t="str">
        <x:v>iPhone 6s</x:v>
      </x:c>
      <x:c r="B24" t="str">
        <x:v>Normal LCD</x:v>
      </x:c>
      <x:c r="C24" s="22"/>
      <x:c r="D24" s="18"/>
      <x:c r="E24" s="19" t="str">
        <x:f>IF(OR(C24="",D24=""),"",C24*D24)</x:f>
      </x:c>
      <x:c r="F24"/>
    </x:row>
    <x:row r="25">
      <x:c r="A25" t="str">
        <x:v>iPhone 6s</x:v>
      </x:c>
      <x:c r="B25" t="str">
        <x:v>Incell LCD</x:v>
      </x:c>
      <x:c r="C25" s="22"/>
      <x:c r="D25" s="18"/>
      <x:c r="E25" s="19" t="str">
        <x:f>IF(OR(C25="",D25=""),"",C25*D25)</x:f>
      </x:c>
      <x:c r="F25"/>
    </x:row>
    <x:row r="26">
      <x:c r="A26" t="str">
        <x:v>iPhone 6s</x:v>
      </x:c>
      <x:c r="B26" t="str">
        <x:v>OLED / Original quality</x:v>
      </x:c>
      <x:c r="C26" s="22"/>
      <x:c r="D26" s="18"/>
      <x:c r="E26" s="19" t="str">
        <x:f>IF(OR(C26="",D26=""),"",C26*D26)</x:f>
      </x:c>
      <x:c r="F26"/>
    </x:row>
    <x:row r="27">
      <x:c r="A27" t="str">
        <x:v>iPhone 6s Plus</x:v>
      </x:c>
      <x:c r="B27" t="str">
        <x:v>Normal LCD</x:v>
      </x:c>
      <x:c r="C27" s="22"/>
      <x:c r="D27" s="18"/>
      <x:c r="E27" s="19" t="str">
        <x:f>IF(OR(C27="",D27=""),"",C27*D27)</x:f>
      </x:c>
      <x:c r="F27"/>
    </x:row>
    <x:row r="28">
      <x:c r="A28" t="str">
        <x:v>iPhone 6s Plus</x:v>
      </x:c>
      <x:c r="B28" t="str">
        <x:v>Incell LCD</x:v>
      </x:c>
      <x:c r="C28" s="22"/>
      <x:c r="D28" s="18"/>
      <x:c r="E28" s="19" t="str">
        <x:f>IF(OR(C28="",D28=""),"",C28*D28)</x:f>
      </x:c>
      <x:c r="F28"/>
    </x:row>
    <x:row r="29">
      <x:c r="A29" t="str">
        <x:v>iPhone 6s Plus</x:v>
      </x:c>
      <x:c r="B29" t="str">
        <x:v>OLED / Original quality</x:v>
      </x:c>
      <x:c r="C29" s="22"/>
      <x:c r="D29" s="18"/>
      <x:c r="E29" s="19" t="str">
        <x:f>IF(OR(C29="",D29=""),"",C29*D29)</x:f>
      </x:c>
      <x:c r="F29"/>
    </x:row>
    <x:row r="30">
      <x:c r="A30" t="str">
        <x:v>iPhone 7</x:v>
      </x:c>
      <x:c r="B30" t="str">
        <x:v>Normal LCD</x:v>
      </x:c>
      <x:c r="C30" s="22"/>
      <x:c r="D30" s="18"/>
      <x:c r="E30" s="19" t="str">
        <x:f>IF(OR(C30="",D30=""),"",C30*D30)</x:f>
      </x:c>
      <x:c r="F30"/>
    </x:row>
    <x:row r="31">
      <x:c r="A31" t="str">
        <x:v>iPhone 7</x:v>
      </x:c>
      <x:c r="B31" t="str">
        <x:v>Incell LCD</x:v>
      </x:c>
      <x:c r="C31" s="22"/>
      <x:c r="D31" s="18"/>
      <x:c r="E31" s="19" t="str">
        <x:f>IF(OR(C31="",D31=""),"",C31*D31)</x:f>
      </x:c>
      <x:c r="F31"/>
    </x:row>
    <x:row r="32">
      <x:c r="A32" t="str">
        <x:v>iPhone 7</x:v>
      </x:c>
      <x:c r="B32" t="str">
        <x:v>OLED / Original quality</x:v>
      </x:c>
      <x:c r="C32" s="22"/>
      <x:c r="D32" s="18"/>
      <x:c r="E32" s="19" t="str">
        <x:f>IF(OR(C32="",D32=""),"",C32*D32)</x:f>
      </x:c>
      <x:c r="F32"/>
    </x:row>
    <x:row r="33">
      <x:c r="A33" t="str">
        <x:v>iPhone 7 Plus</x:v>
      </x:c>
      <x:c r="B33" t="str">
        <x:v>Normal LCD</x:v>
      </x:c>
      <x:c r="C33" s="22"/>
      <x:c r="D33" s="18"/>
      <x:c r="E33" s="19" t="str">
        <x:f>IF(OR(C33="",D33=""),"",C33*D33)</x:f>
      </x:c>
      <x:c r="F33"/>
    </x:row>
    <x:row r="34">
      <x:c r="A34" t="str">
        <x:v>iPhone 7 Plus</x:v>
      </x:c>
      <x:c r="B34" t="str">
        <x:v>Incell LCD</x:v>
      </x:c>
      <x:c r="C34" s="22"/>
      <x:c r="D34" s="18"/>
      <x:c r="E34" s="19" t="str">
        <x:f>IF(OR(C34="",D34=""),"",C34*D34)</x:f>
      </x:c>
      <x:c r="F34"/>
    </x:row>
    <x:row r="35">
      <x:c r="A35" t="str">
        <x:v>iPhone 7 Plus</x:v>
      </x:c>
      <x:c r="B35" t="str">
        <x:v>OLED / Original quality</x:v>
      </x:c>
      <x:c r="C35" s="22"/>
      <x:c r="D35" s="18"/>
      <x:c r="E35" s="19" t="str">
        <x:f>IF(OR(C35="",D35=""),"",C35*D35)</x:f>
      </x:c>
      <x:c r="F35"/>
    </x:row>
    <x:row r="36">
      <x:c r="A36" t="str">
        <x:v>iPhone 8</x:v>
      </x:c>
      <x:c r="B36" t="str">
        <x:v>Normal LCD</x:v>
      </x:c>
      <x:c r="C36" s="22"/>
      <x:c r="D36" s="18"/>
      <x:c r="E36" s="19" t="str">
        <x:f>IF(OR(C36="",D36=""),"",C36*D36)</x:f>
      </x:c>
      <x:c r="F36"/>
    </x:row>
    <x:row r="37">
      <x:c r="A37" t="str">
        <x:v>iPhone 8</x:v>
      </x:c>
      <x:c r="B37" t="str">
        <x:v>Incell LCD</x:v>
      </x:c>
      <x:c r="C37" s="22"/>
      <x:c r="D37" s="18"/>
      <x:c r="E37" s="19" t="str">
        <x:f>IF(OR(C37="",D37=""),"",C37*D37)</x:f>
      </x:c>
      <x:c r="F37"/>
    </x:row>
    <x:row r="38">
      <x:c r="A38" t="str">
        <x:v>iPhone 8</x:v>
      </x:c>
      <x:c r="B38" t="str">
        <x:v>OLED / Original quality</x:v>
      </x:c>
      <x:c r="C38" s="22"/>
      <x:c r="D38" s="18"/>
      <x:c r="E38" s="19" t="str">
        <x:f>IF(OR(C38="",D38=""),"",C38*D38)</x:f>
      </x:c>
      <x:c r="F38"/>
    </x:row>
    <x:row r="39">
      <x:c r="A39" t="str">
        <x:v>iPhone 8 Plus</x:v>
      </x:c>
      <x:c r="B39" t="str">
        <x:v>Normal LCD</x:v>
      </x:c>
      <x:c r="C39" s="22"/>
      <x:c r="D39" s="18"/>
      <x:c r="E39" s="19" t="str">
        <x:f>IF(OR(C39="",D39=""),"",C39*D39)</x:f>
      </x:c>
      <x:c r="F39"/>
    </x:row>
    <x:row r="40">
      <x:c r="A40" t="str">
        <x:v>iPhone 8 Plus</x:v>
      </x:c>
      <x:c r="B40" t="str">
        <x:v>Incell LCD</x:v>
      </x:c>
      <x:c r="C40" s="22"/>
      <x:c r="D40" s="18"/>
      <x:c r="E40" s="19" t="str">
        <x:f>IF(OR(C40="",D40=""),"",C40*D40)</x:f>
      </x:c>
      <x:c r="F40"/>
    </x:row>
    <x:row r="41">
      <x:c r="A41" t="str">
        <x:v>iPhone 8 Plus</x:v>
      </x:c>
      <x:c r="B41" t="str">
        <x:v>OLED / Original quality</x:v>
      </x:c>
      <x:c r="C41" s="22"/>
      <x:c r="D41" s="18"/>
      <x:c r="E41" s="19" t="str">
        <x:f>IF(OR(C41="",D41=""),"",C41*D41)</x:f>
      </x:c>
      <x:c r="F41"/>
    </x:row>
    <x:row r="42">
      <x:c r="A42" t="str">
        <x:v>iPhone X</x:v>
      </x:c>
      <x:c r="B42" t="str">
        <x:v>Normal LCD</x:v>
      </x:c>
      <x:c r="C42" s="22"/>
      <x:c r="D42" s="18"/>
      <x:c r="E42" s="19" t="str">
        <x:f>IF(OR(C42="",D42=""),"",C42*D42)</x:f>
      </x:c>
      <x:c r="F42"/>
    </x:row>
    <x:row r="43">
      <x:c r="A43" t="str">
        <x:v>iPhone X</x:v>
      </x:c>
      <x:c r="B43" t="str">
        <x:v>Incell LCD</x:v>
      </x:c>
      <x:c r="C43" s="22"/>
      <x:c r="D43" s="18"/>
      <x:c r="E43" s="19" t="str">
        <x:f>IF(OR(C43="",D43=""),"",C43*D43)</x:f>
      </x:c>
      <x:c r="F43"/>
    </x:row>
    <x:row r="44">
      <x:c r="A44" t="str">
        <x:v>iPhone X</x:v>
      </x:c>
      <x:c r="B44" t="str">
        <x:v>OLED / Original quality</x:v>
      </x:c>
      <x:c r="C44" s="22"/>
      <x:c r="D44" s="18"/>
      <x:c r="E44" s="19" t="str">
        <x:f>IF(OR(C44="",D44=""),"",C44*D44)</x:f>
      </x:c>
      <x:c r="F44"/>
    </x:row>
    <x:row r="45">
      <x:c r="A45" t="str">
        <x:v>iPhone XR</x:v>
      </x:c>
      <x:c r="B45" t="str">
        <x:v>Normal LCD</x:v>
      </x:c>
      <x:c r="C45" s="22"/>
      <x:c r="D45" s="18"/>
      <x:c r="E45" s="19" t="str">
        <x:f>IF(OR(C45="",D45=""),"",C45*D45)</x:f>
      </x:c>
      <x:c r="F45"/>
    </x:row>
    <x:row r="46">
      <x:c r="A46" t="str">
        <x:v>iPhone XR</x:v>
      </x:c>
      <x:c r="B46" t="str">
        <x:v>Incell LCD</x:v>
      </x:c>
      <x:c r="C46" s="22"/>
      <x:c r="D46" s="18"/>
      <x:c r="E46" s="19" t="str">
        <x:f>IF(OR(C46="",D46=""),"",C46*D46)</x:f>
      </x:c>
      <x:c r="F46"/>
    </x:row>
    <x:row r="47">
      <x:c r="A47" t="str">
        <x:v>iPhone XR</x:v>
      </x:c>
      <x:c r="B47" t="str">
        <x:v>OLED / Original quality</x:v>
      </x:c>
      <x:c r="C47" s="22"/>
      <x:c r="D47" s="18"/>
      <x:c r="E47" s="19" t="str">
        <x:f>IF(OR(C47="",D47=""),"",C47*D47)</x:f>
      </x:c>
      <x:c r="F47"/>
    </x:row>
    <x:row r="48">
      <x:c r="A48" t="str">
        <x:v>iPhone XS</x:v>
      </x:c>
      <x:c r="B48" t="str">
        <x:v>Normal LCD</x:v>
      </x:c>
      <x:c r="C48" s="22"/>
      <x:c r="D48" s="18"/>
      <x:c r="E48" s="19" t="str">
        <x:f>IF(OR(C48="",D48=""),"",C48*D48)</x:f>
      </x:c>
      <x:c r="F48"/>
    </x:row>
    <x:row r="49">
      <x:c r="A49" t="str">
        <x:v>iPhone XS</x:v>
      </x:c>
      <x:c r="B49" t="str">
        <x:v>Incell LCD</x:v>
      </x:c>
      <x:c r="C49" s="22"/>
      <x:c r="D49" s="18"/>
      <x:c r="E49" s="19" t="str">
        <x:f>IF(OR(C49="",D49=""),"",C49*D49)</x:f>
      </x:c>
      <x:c r="F49"/>
    </x:row>
    <x:row r="50">
      <x:c r="A50" t="str">
        <x:v>iPhone XS</x:v>
      </x:c>
      <x:c r="B50" t="str">
        <x:v>OLED / Original quality</x:v>
      </x:c>
      <x:c r="C50" s="22"/>
      <x:c r="D50" s="18"/>
      <x:c r="E50" s="19" t="str">
        <x:f>IF(OR(C50="",D50=""),"",C50*D50)</x:f>
      </x:c>
      <x:c r="F50"/>
    </x:row>
    <x:row r="51">
      <x:c r="A51" t="str">
        <x:v>iPhone XS Max</x:v>
      </x:c>
      <x:c r="B51" t="str">
        <x:v>Normal LCD</x:v>
      </x:c>
      <x:c r="C51" s="22"/>
      <x:c r="D51" s="18"/>
      <x:c r="E51" s="19" t="str">
        <x:f>IF(OR(C51="",D51=""),"",C51*D51)</x:f>
      </x:c>
      <x:c r="F51"/>
    </x:row>
    <x:row r="52">
      <x:c r="A52" t="str">
        <x:v>iPhone XS Max</x:v>
      </x:c>
      <x:c r="B52" t="str">
        <x:v>Incell LCD</x:v>
      </x:c>
      <x:c r="C52" s="22"/>
      <x:c r="D52" s="18"/>
      <x:c r="E52" s="19" t="str">
        <x:f>IF(OR(C52="",D52=""),"",C52*D52)</x:f>
      </x:c>
      <x:c r="F52"/>
    </x:row>
    <x:row r="53">
      <x:c r="A53" t="str">
        <x:v>iPhone XS Max</x:v>
      </x:c>
      <x:c r="B53" t="str">
        <x:v>OLED / Original quality</x:v>
      </x:c>
      <x:c r="C53" s="22"/>
      <x:c r="D53" s="18"/>
      <x:c r="E53" s="19" t="str">
        <x:f>IF(OR(C53="",D53=""),"",C53*D53)</x:f>
      </x:c>
      <x:c r="F53"/>
    </x:row>
    <x:row r="54">
      <x:c r="A54" t="str">
        <x:v>iPhone 11</x:v>
      </x:c>
      <x:c r="B54" t="str">
        <x:v>Normal LCD</x:v>
      </x:c>
      <x:c r="C54" s="22"/>
      <x:c r="D54" s="18"/>
      <x:c r="E54" s="19" t="str">
        <x:f>IF(OR(C54="",D54=""),"",C54*D54)</x:f>
      </x:c>
      <x:c r="F54"/>
    </x:row>
    <x:row r="55">
      <x:c r="A55" t="str">
        <x:v>iPhone 11</x:v>
      </x:c>
      <x:c r="B55" t="str">
        <x:v>Incell LCD</x:v>
      </x:c>
      <x:c r="C55" s="22"/>
      <x:c r="D55" s="18"/>
      <x:c r="E55" s="19" t="str">
        <x:f>IF(OR(C55="",D55=""),"",C55*D55)</x:f>
      </x:c>
      <x:c r="F55"/>
    </x:row>
    <x:row r="56">
      <x:c r="A56" t="str">
        <x:v>iPhone 11</x:v>
      </x:c>
      <x:c r="B56" t="str">
        <x:v>OLED / Original quality</x:v>
      </x:c>
      <x:c r="C56" s="22"/>
      <x:c r="D56" s="18"/>
      <x:c r="E56" s="19" t="str">
        <x:f>IF(OR(C56="",D56=""),"",C56*D56)</x:f>
      </x:c>
      <x:c r="F56"/>
    </x:row>
    <x:row r="57">
      <x:c r="A57" t="str">
        <x:v>iPhone 11 Pro</x:v>
      </x:c>
      <x:c r="B57" t="str">
        <x:v>Normal LCD</x:v>
      </x:c>
      <x:c r="C57" s="22"/>
      <x:c r="D57" s="18"/>
      <x:c r="E57" s="19" t="str">
        <x:f>IF(OR(C57="",D57=""),"",C57*D57)</x:f>
      </x:c>
      <x:c r="F57"/>
    </x:row>
    <x:row r="58">
      <x:c r="A58" t="str">
        <x:v>iPhone 11 Pro</x:v>
      </x:c>
      <x:c r="B58" t="str">
        <x:v>Incell LCD</x:v>
      </x:c>
      <x:c r="C58" s="22"/>
      <x:c r="D58" s="18"/>
      <x:c r="E58" s="19" t="str">
        <x:f>IF(OR(C58="",D58=""),"",C58*D58)</x:f>
      </x:c>
      <x:c r="F58"/>
    </x:row>
    <x:row r="59">
      <x:c r="A59" t="str">
        <x:v>iPhone 11 Pro</x:v>
      </x:c>
      <x:c r="B59" t="str">
        <x:v>OLED / Original quality</x:v>
      </x:c>
      <x:c r="C59" s="22"/>
      <x:c r="D59" s="18"/>
      <x:c r="E59" s="19" t="str">
        <x:f>IF(OR(C59="",D59=""),"",C59*D59)</x:f>
      </x:c>
      <x:c r="F59"/>
    </x:row>
    <x:row r="60">
      <x:c r="A60" t="str">
        <x:v>iPhone 11 Pro Max</x:v>
      </x:c>
      <x:c r="B60" t="str">
        <x:v>Normal LCD</x:v>
      </x:c>
      <x:c r="C60" s="22"/>
      <x:c r="D60" s="18"/>
      <x:c r="E60" s="19" t="str">
        <x:f>IF(OR(C60="",D60=""),"",C60*D60)</x:f>
      </x:c>
      <x:c r="F60"/>
    </x:row>
    <x:row r="61">
      <x:c r="A61" t="str">
        <x:v>iPhone 11 Pro Max</x:v>
      </x:c>
      <x:c r="B61" t="str">
        <x:v>Incell LCD</x:v>
      </x:c>
      <x:c r="C61" s="22"/>
      <x:c r="D61" s="18"/>
      <x:c r="E61" s="19" t="str">
        <x:f>IF(OR(C61="",D61=""),"",C61*D61)</x:f>
      </x:c>
      <x:c r="F61"/>
    </x:row>
    <x:row r="62">
      <x:c r="A62" t="str">
        <x:v>iPhone 11 Pro Max</x:v>
      </x:c>
      <x:c r="B62" t="str">
        <x:v>OLED / Original quality</x:v>
      </x:c>
      <x:c r="C62" s="22"/>
      <x:c r="D62" s="18"/>
      <x:c r="E62" s="19" t="str">
        <x:f>IF(OR(C62="",D62=""),"",C62*D62)</x:f>
      </x:c>
      <x:c r="F62"/>
    </x:row>
    <x:row r="63">
      <x:c r="A63" t="str">
        <x:v>iPhone SE (2020)</x:v>
      </x:c>
      <x:c r="B63" t="str">
        <x:v>Normal LCD</x:v>
      </x:c>
      <x:c r="C63" s="22"/>
      <x:c r="D63" s="18"/>
      <x:c r="E63" s="19" t="str">
        <x:f>IF(OR(C63="",D63=""),"",C63*D63)</x:f>
      </x:c>
      <x:c r="F63"/>
    </x:row>
    <x:row r="64">
      <x:c r="A64" t="str">
        <x:v>iPhone SE (2020)</x:v>
      </x:c>
      <x:c r="B64" t="str">
        <x:v>Incell LCD</x:v>
      </x:c>
      <x:c r="C64" s="22"/>
      <x:c r="D64" s="18"/>
      <x:c r="E64" s="19" t="str">
        <x:f>IF(OR(C64="",D64=""),"",C64*D64)</x:f>
      </x:c>
      <x:c r="F64"/>
    </x:row>
    <x:row r="65">
      <x:c r="A65" t="str">
        <x:v>iPhone SE (2020)</x:v>
      </x:c>
      <x:c r="B65" t="str">
        <x:v>OLED / Original quality</x:v>
      </x:c>
      <x:c r="C65" s="22"/>
      <x:c r="D65" s="18"/>
      <x:c r="E65" s="19" t="str">
        <x:f>IF(OR(C65="",D65=""),"",C65*D65)</x:f>
      </x:c>
      <x:c r="F65"/>
    </x:row>
    <x:row r="66">
      <x:c r="A66" t="str">
        <x:v>iPhone 12 mini</x:v>
      </x:c>
      <x:c r="B66" t="str">
        <x:v>Normal LCD</x:v>
      </x:c>
      <x:c r="C66" s="22"/>
      <x:c r="D66" s="18"/>
      <x:c r="E66" s="19" t="str">
        <x:f>IF(OR(C66="",D66=""),"",C66*D66)</x:f>
      </x:c>
      <x:c r="F66"/>
    </x:row>
    <x:row r="67">
      <x:c r="A67" t="str">
        <x:v>iPhone 12 mini</x:v>
      </x:c>
      <x:c r="B67" t="str">
        <x:v>Incell LCD</x:v>
      </x:c>
      <x:c r="C67" s="22"/>
      <x:c r="D67" s="18"/>
      <x:c r="E67" s="19" t="str">
        <x:f>IF(OR(C67="",D67=""),"",C67*D67)</x:f>
      </x:c>
      <x:c r="F67"/>
    </x:row>
    <x:row r="68">
      <x:c r="A68" t="str">
        <x:v>iPhone 12 mini</x:v>
      </x:c>
      <x:c r="B68" t="str">
        <x:v>OLED / Original quality</x:v>
      </x:c>
      <x:c r="C68" s="22"/>
      <x:c r="D68" s="18"/>
      <x:c r="E68" s="19" t="str">
        <x:f>IF(OR(C68="",D68=""),"",C68*D68)</x:f>
      </x:c>
      <x:c r="F68"/>
    </x:row>
    <x:row r="69">
      <x:c r="A69" t="str">
        <x:v>iPhone 12</x:v>
      </x:c>
      <x:c r="B69" t="str">
        <x:v>Normal LCD</x:v>
      </x:c>
      <x:c r="C69" s="22"/>
      <x:c r="D69" s="18"/>
      <x:c r="E69" s="19" t="str">
        <x:f>IF(OR(C69="",D69=""),"",C69*D69)</x:f>
      </x:c>
      <x:c r="F69"/>
    </x:row>
    <x:row r="70">
      <x:c r="A70" t="str">
        <x:v>iPhone 12</x:v>
      </x:c>
      <x:c r="B70" t="str">
        <x:v>Incell LCD</x:v>
      </x:c>
      <x:c r="C70" s="22"/>
      <x:c r="D70" s="18"/>
      <x:c r="E70" s="19" t="str">
        <x:f>IF(OR(C70="",D70=""),"",C70*D70)</x:f>
      </x:c>
      <x:c r="F70"/>
    </x:row>
    <x:row r="71">
      <x:c r="A71" t="str">
        <x:v>iPhone 12</x:v>
      </x:c>
      <x:c r="B71" t="str">
        <x:v>OLED / Original quality</x:v>
      </x:c>
      <x:c r="C71" s="22"/>
      <x:c r="D71" s="18"/>
      <x:c r="E71" s="19" t="str">
        <x:f>IF(OR(C71="",D71=""),"",C71*D71)</x:f>
      </x:c>
      <x:c r="F71"/>
    </x:row>
    <x:row r="72">
      <x:c r="A72" t="str">
        <x:v>iPhone 12 Pro</x:v>
      </x:c>
      <x:c r="B72" t="str">
        <x:v>Normal LCD</x:v>
      </x:c>
      <x:c r="C72" s="22"/>
      <x:c r="D72" s="18"/>
      <x:c r="E72" s="19" t="str">
        <x:f>IF(OR(C72="",D72=""),"",C72*D72)</x:f>
      </x:c>
      <x:c r="F72"/>
    </x:row>
    <x:row r="73">
      <x:c r="A73" t="str">
        <x:v>iPhone 12 Pro</x:v>
      </x:c>
      <x:c r="B73" t="str">
        <x:v>Incell LCD</x:v>
      </x:c>
      <x:c r="C73" s="22"/>
      <x:c r="D73" s="18"/>
      <x:c r="E73" s="19" t="str">
        <x:f>IF(OR(C73="",D73=""),"",C73*D73)</x:f>
      </x:c>
      <x:c r="F73"/>
    </x:row>
    <x:row r="74">
      <x:c r="A74" t="str">
        <x:v>iPhone 12 Pro</x:v>
      </x:c>
      <x:c r="B74" t="str">
        <x:v>OLED / Original quality</x:v>
      </x:c>
      <x:c r="C74" s="22"/>
      <x:c r="D74" s="18"/>
      <x:c r="E74" s="19" t="str">
        <x:f>IF(OR(C74="",D74=""),"",C74*D74)</x:f>
      </x:c>
      <x:c r="F74"/>
    </x:row>
    <x:row r="75">
      <x:c r="A75" t="str">
        <x:v>iPhone 12 Pro Max</x:v>
      </x:c>
      <x:c r="B75" t="str">
        <x:v>Normal LCD</x:v>
      </x:c>
      <x:c r="C75" s="22"/>
      <x:c r="D75" s="18"/>
      <x:c r="E75" s="19" t="str">
        <x:f>IF(OR(C75="",D75=""),"",C75*D75)</x:f>
      </x:c>
      <x:c r="F75"/>
    </x:row>
    <x:row r="76">
      <x:c r="A76" t="str">
        <x:v>iPhone 12 Pro Max</x:v>
      </x:c>
      <x:c r="B76" t="str">
        <x:v>Incell LCD</x:v>
      </x:c>
      <x:c r="C76" s="22"/>
      <x:c r="D76" s="18"/>
      <x:c r="E76" s="19" t="str">
        <x:f>IF(OR(C76="",D76=""),"",C76*D76)</x:f>
      </x:c>
      <x:c r="F76"/>
    </x:row>
    <x:row r="77">
      <x:c r="A77" t="str">
        <x:v>iPhone 12 Pro Max</x:v>
      </x:c>
      <x:c r="B77" t="str">
        <x:v>OLED / Original quality</x:v>
      </x:c>
      <x:c r="C77" s="22"/>
      <x:c r="D77" s="18"/>
      <x:c r="E77" s="19" t="str">
        <x:f>IF(OR(C77="",D77=""),"",C77*D77)</x:f>
      </x:c>
      <x:c r="F77"/>
    </x:row>
    <x:row r="78">
      <x:c r="A78" t="str">
        <x:v>iPhone 13 mini</x:v>
      </x:c>
      <x:c r="B78" t="str">
        <x:v>Normal LCD</x:v>
      </x:c>
      <x:c r="C78" s="22"/>
      <x:c r="D78" s="18"/>
      <x:c r="E78" s="19" t="str">
        <x:f>IF(OR(C78="",D78=""),"",C78*D78)</x:f>
      </x:c>
      <x:c r="F78"/>
    </x:row>
    <x:row r="79">
      <x:c r="A79" t="str">
        <x:v>iPhone 13 mini</x:v>
      </x:c>
      <x:c r="B79" t="str">
        <x:v>Incell LCD</x:v>
      </x:c>
      <x:c r="C79" s="22"/>
      <x:c r="D79" s="18"/>
      <x:c r="E79" s="19" t="str">
        <x:f>IF(OR(C79="",D79=""),"",C79*D79)</x:f>
      </x:c>
      <x:c r="F79"/>
    </x:row>
    <x:row r="80">
      <x:c r="A80" t="str">
        <x:v>iPhone 13 mini</x:v>
      </x:c>
      <x:c r="B80" t="str">
        <x:v>OLED / Original quality</x:v>
      </x:c>
      <x:c r="C80" s="22"/>
      <x:c r="D80" s="18"/>
      <x:c r="E80" s="19" t="str">
        <x:f>IF(OR(C80="",D80=""),"",C80*D80)</x:f>
      </x:c>
      <x:c r="F80"/>
    </x:row>
    <x:row r="81">
      <x:c r="A81" t="str">
        <x:v>iPhone 13</x:v>
      </x:c>
      <x:c r="B81" t="str">
        <x:v>Normal LCD</x:v>
      </x:c>
      <x:c r="C81" s="22"/>
      <x:c r="D81" s="18"/>
      <x:c r="E81" s="19" t="str">
        <x:f>IF(OR(C81="",D81=""),"",C81*D81)</x:f>
      </x:c>
      <x:c r="F81"/>
    </x:row>
    <x:row r="82">
      <x:c r="A82" t="str">
        <x:v>iPhone 13</x:v>
      </x:c>
      <x:c r="B82" t="str">
        <x:v>Incell LCD</x:v>
      </x:c>
      <x:c r="C82" s="22"/>
      <x:c r="D82" s="18"/>
      <x:c r="E82" s="19" t="str">
        <x:f>IF(OR(C82="",D82=""),"",C82*D82)</x:f>
      </x:c>
      <x:c r="F82"/>
    </x:row>
    <x:row r="83">
      <x:c r="A83" t="str">
        <x:v>iPhone 13</x:v>
      </x:c>
      <x:c r="B83" t="str">
        <x:v>OLED / Original quality</x:v>
      </x:c>
      <x:c r="C83" s="22"/>
      <x:c r="D83" s="18"/>
      <x:c r="E83" s="19" t="str">
        <x:f>IF(OR(C83="",D83=""),"",C83*D83)</x:f>
      </x:c>
      <x:c r="F83"/>
    </x:row>
    <x:row r="84">
      <x:c r="A84" t="str">
        <x:v>iPhone 13 Pro</x:v>
      </x:c>
      <x:c r="B84" t="str">
        <x:v>Normal LCD</x:v>
      </x:c>
      <x:c r="C84" s="22"/>
      <x:c r="D84" s="18"/>
      <x:c r="E84" s="19" t="str">
        <x:f>IF(OR(C84="",D84=""),"",C84*D84)</x:f>
      </x:c>
      <x:c r="F84"/>
    </x:row>
    <x:row r="85">
      <x:c r="A85" t="str">
        <x:v>iPhone 13 Pro</x:v>
      </x:c>
      <x:c r="B85" t="str">
        <x:v>Incell LCD</x:v>
      </x:c>
      <x:c r="C85" s="22"/>
      <x:c r="D85" s="18"/>
      <x:c r="E85" s="19" t="str">
        <x:f>IF(OR(C85="",D85=""),"",C85*D85)</x:f>
      </x:c>
      <x:c r="F85"/>
    </x:row>
    <x:row r="86">
      <x:c r="A86" t="str">
        <x:v>iPhone 13 Pro</x:v>
      </x:c>
      <x:c r="B86" t="str">
        <x:v>OLED / Original quality</x:v>
      </x:c>
      <x:c r="C86" s="22"/>
      <x:c r="D86" s="18"/>
      <x:c r="E86" s="19" t="str">
        <x:f>IF(OR(C86="",D86=""),"",C86*D86)</x:f>
      </x:c>
      <x:c r="F86"/>
    </x:row>
    <x:row r="87">
      <x:c r="A87" t="str">
        <x:v>iPhone 13 Pro Max</x:v>
      </x:c>
      <x:c r="B87" t="str">
        <x:v>Normal LCD</x:v>
      </x:c>
      <x:c r="C87" s="22"/>
      <x:c r="D87" s="18"/>
      <x:c r="E87" s="19" t="str">
        <x:f>IF(OR(C87="",D87=""),"",C87*D87)</x:f>
      </x:c>
      <x:c r="F87"/>
    </x:row>
    <x:row r="88">
      <x:c r="A88" t="str">
        <x:v>iPhone 13 Pro Max</x:v>
      </x:c>
      <x:c r="B88" t="str">
        <x:v>Incell LCD</x:v>
      </x:c>
      <x:c r="C88" s="22"/>
      <x:c r="D88" s="18"/>
      <x:c r="E88" s="19" t="str">
        <x:f>IF(OR(C88="",D88=""),"",C88*D88)</x:f>
      </x:c>
      <x:c r="F88"/>
    </x:row>
    <x:row r="89">
      <x:c r="A89" t="str">
        <x:v>iPhone 13 Pro Max</x:v>
      </x:c>
      <x:c r="B89" t="str">
        <x:v>OLED / Original quality</x:v>
      </x:c>
      <x:c r="C89" s="22"/>
      <x:c r="D89" s="18"/>
      <x:c r="E89" s="19" t="str">
        <x:f>IF(OR(C89="",D89=""),"",C89*D89)</x:f>
      </x:c>
      <x:c r="F89"/>
    </x:row>
    <x:row r="90">
      <x:c r="A90" t="str">
        <x:v>iPhone SE (2022)</x:v>
      </x:c>
      <x:c r="B90" t="str">
        <x:v>Normal LCD</x:v>
      </x:c>
      <x:c r="C90" s="22"/>
      <x:c r="D90" s="18"/>
      <x:c r="E90" s="19" t="str">
        <x:f>IF(OR(C90="",D90=""),"",C90*D90)</x:f>
      </x:c>
      <x:c r="F90"/>
    </x:row>
    <x:row r="91">
      <x:c r="A91" t="str">
        <x:v>iPhone SE (2022)</x:v>
      </x:c>
      <x:c r="B91" t="str">
        <x:v>Incell LCD</x:v>
      </x:c>
      <x:c r="C91" s="22"/>
      <x:c r="D91" s="18"/>
      <x:c r="E91" s="19" t="str">
        <x:f>IF(OR(C91="",D91=""),"",C91*D91)</x:f>
      </x:c>
      <x:c r="F91"/>
    </x:row>
    <x:row r="92">
      <x:c r="A92" t="str">
        <x:v>iPhone SE (2022)</x:v>
      </x:c>
      <x:c r="B92" t="str">
        <x:v>OLED / Original quality</x:v>
      </x:c>
      <x:c r="C92" s="22"/>
      <x:c r="D92" s="18"/>
      <x:c r="E92" s="19" t="str">
        <x:f>IF(OR(C92="",D92=""),"",C92*D92)</x:f>
      </x:c>
      <x:c r="F92"/>
    </x:row>
    <x:row r="93">
      <x:c r="A93" t="str">
        <x:v>iPhone 14</x:v>
      </x:c>
      <x:c r="B93" t="str">
        <x:v>Normal LCD</x:v>
      </x:c>
      <x:c r="C93" s="22"/>
      <x:c r="D93" s="18"/>
      <x:c r="E93" s="19" t="str">
        <x:f>IF(OR(C93="",D93=""),"",C93*D93)</x:f>
      </x:c>
      <x:c r="F93"/>
    </x:row>
    <x:row r="94">
      <x:c r="A94" t="str">
        <x:v>iPhone 14</x:v>
      </x:c>
      <x:c r="B94" t="str">
        <x:v>Incell LCD</x:v>
      </x:c>
      <x:c r="C94" s="22"/>
      <x:c r="D94" s="18"/>
      <x:c r="E94" s="19" t="str">
        <x:f>IF(OR(C94="",D94=""),"",C94*D94)</x:f>
      </x:c>
      <x:c r="F94"/>
    </x:row>
    <x:row r="95">
      <x:c r="A95" t="str">
        <x:v>iPhone 14</x:v>
      </x:c>
      <x:c r="B95" t="str">
        <x:v>OLED / Original quality</x:v>
      </x:c>
      <x:c r="C95" s="22"/>
      <x:c r="D95" s="18"/>
      <x:c r="E95" s="19" t="str">
        <x:f>IF(OR(C95="",D95=""),"",C95*D95)</x:f>
      </x:c>
      <x:c r="F95"/>
    </x:row>
    <x:row r="96">
      <x:c r="A96" t="str">
        <x:v>iPhone 14 Plus</x:v>
      </x:c>
      <x:c r="B96" t="str">
        <x:v>Normal LCD</x:v>
      </x:c>
      <x:c r="C96" s="22"/>
      <x:c r="D96" s="18"/>
      <x:c r="E96" s="19" t="str">
        <x:f>IF(OR(C96="",D96=""),"",C96*D96)</x:f>
      </x:c>
      <x:c r="F96"/>
    </x:row>
    <x:row r="97">
      <x:c r="A97" t="str">
        <x:v>iPhone 14 Plus</x:v>
      </x:c>
      <x:c r="B97" t="str">
        <x:v>Incell LCD</x:v>
      </x:c>
      <x:c r="C97" s="22"/>
      <x:c r="D97" s="18"/>
      <x:c r="E97" s="19" t="str">
        <x:f>IF(OR(C97="",D97=""),"",C97*D97)</x:f>
      </x:c>
      <x:c r="F97"/>
    </x:row>
    <x:row r="98">
      <x:c r="A98" t="str">
        <x:v>iPhone 14 Plus</x:v>
      </x:c>
      <x:c r="B98" t="str">
        <x:v>OLED / Original quality</x:v>
      </x:c>
      <x:c r="C98" s="22"/>
      <x:c r="D98" s="18"/>
      <x:c r="E98" s="19" t="str">
        <x:f>IF(OR(C98="",D98=""),"",C98*D98)</x:f>
      </x:c>
      <x:c r="F98"/>
    </x:row>
    <x:row r="99">
      <x:c r="A99" t="str">
        <x:v>iPhone 14 Pro</x:v>
      </x:c>
      <x:c r="B99" t="str">
        <x:v>Normal LCD</x:v>
      </x:c>
      <x:c r="C99" s="22"/>
      <x:c r="D99" s="18"/>
      <x:c r="E99" s="19" t="str">
        <x:f>IF(OR(C99="",D99=""),"",C99*D99)</x:f>
      </x:c>
      <x:c r="F99"/>
    </x:row>
    <x:row r="100">
      <x:c r="A100" t="str">
        <x:v>iPhone 14 Pro</x:v>
      </x:c>
      <x:c r="B100" t="str">
        <x:v>Incell LCD</x:v>
      </x:c>
      <x:c r="C100" s="22"/>
      <x:c r="D100" s="18"/>
      <x:c r="E100" s="19" t="str">
        <x:f>IF(OR(C100="",D100=""),"",C100*D100)</x:f>
      </x:c>
      <x:c r="F100"/>
    </x:row>
    <x:row r="101">
      <x:c r="A101" t="str">
        <x:v>iPhone 14 Pro</x:v>
      </x:c>
      <x:c r="B101" t="str">
        <x:v>OLED / Original quality</x:v>
      </x:c>
      <x:c r="C101" s="22"/>
      <x:c r="D101" s="18"/>
      <x:c r="E101" s="19" t="str">
        <x:f>IF(OR(C101="",D101=""),"",C101*D101)</x:f>
      </x:c>
      <x:c r="F101"/>
    </x:row>
    <x:row r="102">
      <x:c r="A102" t="str">
        <x:v>iPhone 14 Pro Max</x:v>
      </x:c>
      <x:c r="B102" t="str">
        <x:v>Normal LCD</x:v>
      </x:c>
      <x:c r="C102" s="22"/>
      <x:c r="D102" s="18"/>
      <x:c r="E102" s="19" t="str">
        <x:f>IF(OR(C102="",D102=""),"",C102*D102)</x:f>
      </x:c>
      <x:c r="F102"/>
    </x:row>
    <x:row r="103">
      <x:c r="A103" t="str">
        <x:v>iPhone 14 Pro Max</x:v>
      </x:c>
      <x:c r="B103" t="str">
        <x:v>Incell LCD</x:v>
      </x:c>
      <x:c r="C103" s="22"/>
      <x:c r="D103" s="18"/>
      <x:c r="E103" s="19" t="str">
        <x:f>IF(OR(C103="",D103=""),"",C103*D103)</x:f>
      </x:c>
      <x:c r="F103"/>
    </x:row>
    <x:row r="104">
      <x:c r="A104" t="str">
        <x:v>iPhone 14 Pro Max</x:v>
      </x:c>
      <x:c r="B104" t="str">
        <x:v>OLED / Original quality</x:v>
      </x:c>
      <x:c r="C104" s="22"/>
      <x:c r="D104" s="18"/>
      <x:c r="E104" s="19" t="str">
        <x:f>IF(OR(C104="",D104=""),"",C104*D104)</x:f>
      </x:c>
      <x:c r="F104"/>
    </x:row>
    <x:row r="105">
      <x:c r="A105" t="str">
        <x:v>iPhone 15</x:v>
      </x:c>
      <x:c r="B105" t="str">
        <x:v>Normal LCD</x:v>
      </x:c>
      <x:c r="C105" s="22"/>
      <x:c r="D105" s="18"/>
      <x:c r="E105" s="19" t="str">
        <x:f>IF(OR(C105="",D105=""),"",C105*D105)</x:f>
      </x:c>
      <x:c r="F105"/>
    </x:row>
    <x:row r="106">
      <x:c r="A106" t="str">
        <x:v>iPhone 15</x:v>
      </x:c>
      <x:c r="B106" t="str">
        <x:v>Incell LCD</x:v>
      </x:c>
      <x:c r="C106" s="22"/>
      <x:c r="D106" s="18"/>
      <x:c r="E106" s="19" t="str">
        <x:f>IF(OR(C106="",D106=""),"",C106*D106)</x:f>
      </x:c>
      <x:c r="F106"/>
    </x:row>
    <x:row r="107">
      <x:c r="A107" t="str">
        <x:v>iPhone 15</x:v>
      </x:c>
      <x:c r="B107" t="str">
        <x:v>OLED / Original quality</x:v>
      </x:c>
      <x:c r="C107" s="22"/>
      <x:c r="D107" s="18"/>
      <x:c r="E107" s="19" t="str">
        <x:f>IF(OR(C107="",D107=""),"",C107*D107)</x:f>
      </x:c>
      <x:c r="F107"/>
    </x:row>
    <x:row r="108">
      <x:c r="A108" t="str">
        <x:v>iPhone 15 Plus</x:v>
      </x:c>
      <x:c r="B108" t="str">
        <x:v>Normal LCD</x:v>
      </x:c>
      <x:c r="C108" s="22"/>
      <x:c r="D108" s="18"/>
      <x:c r="E108" s="19" t="str">
        <x:f>IF(OR(C108="",D108=""),"",C108*D108)</x:f>
      </x:c>
      <x:c r="F108"/>
    </x:row>
    <x:row r="109">
      <x:c r="A109" t="str">
        <x:v>iPhone 15 Plus</x:v>
      </x:c>
      <x:c r="B109" t="str">
        <x:v>Incell LCD</x:v>
      </x:c>
      <x:c r="C109" s="22"/>
      <x:c r="D109" s="18"/>
      <x:c r="E109" s="19" t="str">
        <x:f>IF(OR(C109="",D109=""),"",C109*D109)</x:f>
      </x:c>
      <x:c r="F109"/>
    </x:row>
    <x:row r="110">
      <x:c r="A110" t="str">
        <x:v>iPhone 15 Plus</x:v>
      </x:c>
      <x:c r="B110" t="str">
        <x:v>OLED / Original quality</x:v>
      </x:c>
      <x:c r="C110" s="22"/>
      <x:c r="D110" s="18"/>
      <x:c r="E110" s="19" t="str">
        <x:f>IF(OR(C110="",D110=""),"",C110*D110)</x:f>
      </x:c>
      <x:c r="F110"/>
    </x:row>
    <x:row r="111">
      <x:c r="A111" t="str">
        <x:v>iPhone 15 Pro</x:v>
      </x:c>
      <x:c r="B111" t="str">
        <x:v>Normal LCD</x:v>
      </x:c>
      <x:c r="C111" s="22"/>
      <x:c r="D111" s="18"/>
      <x:c r="E111" s="19" t="str">
        <x:f>IF(OR(C111="",D111=""),"",C111*D111)</x:f>
      </x:c>
      <x:c r="F111"/>
    </x:row>
    <x:row r="112">
      <x:c r="A112" t="str">
        <x:v>iPhone 15 Pro</x:v>
      </x:c>
      <x:c r="B112" t="str">
        <x:v>Incell LCD</x:v>
      </x:c>
      <x:c r="C112" s="22"/>
      <x:c r="D112" s="18"/>
      <x:c r="E112" s="19" t="str">
        <x:f>IF(OR(C112="",D112=""),"",C112*D112)</x:f>
      </x:c>
      <x:c r="F112"/>
    </x:row>
    <x:row r="113">
      <x:c r="A113" t="str">
        <x:v>iPhone 15 Pro</x:v>
      </x:c>
      <x:c r="B113" t="str">
        <x:v>OLED / Original quality</x:v>
      </x:c>
      <x:c r="C113" s="22"/>
      <x:c r="D113" s="18"/>
      <x:c r="E113" s="19" t="str">
        <x:f>IF(OR(C113="",D113=""),"",C113*D113)</x:f>
      </x:c>
      <x:c r="F113"/>
    </x:row>
    <x:row r="114">
      <x:c r="A114" t="str">
        <x:v>iPhone 15 Pro Max</x:v>
      </x:c>
      <x:c r="B114" t="str">
        <x:v>Normal LCD</x:v>
      </x:c>
      <x:c r="C114" s="22"/>
      <x:c r="D114" s="18"/>
      <x:c r="E114" s="19" t="str">
        <x:f>IF(OR(C114="",D114=""),"",C114*D114)</x:f>
      </x:c>
      <x:c r="F114"/>
    </x:row>
    <x:row r="115">
      <x:c r="A115" t="str">
        <x:v>iPhone 15 Pro Max</x:v>
      </x:c>
      <x:c r="B115" t="str">
        <x:v>Incell LCD</x:v>
      </x:c>
      <x:c r="C115" s="22"/>
      <x:c r="D115" s="18"/>
      <x:c r="E115" s="19" t="str">
        <x:f>IF(OR(C115="",D115=""),"",C115*D115)</x:f>
      </x:c>
      <x:c r="F115"/>
    </x:row>
    <x:row r="116">
      <x:c r="A116" t="str">
        <x:v>iPhone 15 Pro Max</x:v>
      </x:c>
      <x:c r="B116" t="str">
        <x:v>OLED / Original quality</x:v>
      </x:c>
      <x:c r="C116" s="22"/>
      <x:c r="D116" s="18"/>
      <x:c r="E116" s="19" t="str">
        <x:f>IF(OR(C116="",D116=""),"",C116*D116)</x:f>
      </x:c>
      <x:c r="F116"/>
    </x:row>
    <x:row r="117">
      <x:c r="A117" t="str">
        <x:v>iPhone 16</x:v>
      </x:c>
      <x:c r="B117" t="str">
        <x:v>Normal LCD</x:v>
      </x:c>
      <x:c r="C117" s="22"/>
      <x:c r="D117" s="18"/>
      <x:c r="E117" s="19" t="str">
        <x:f>IF(OR(C117="",D117=""),"",C117*D117)</x:f>
      </x:c>
      <x:c r="F117"/>
    </x:row>
    <x:row r="118">
      <x:c r="A118" t="str">
        <x:v>iPhone 16</x:v>
      </x:c>
      <x:c r="B118" t="str">
        <x:v>Incell LCD</x:v>
      </x:c>
      <x:c r="C118" s="22"/>
      <x:c r="D118" s="18"/>
      <x:c r="E118" s="19" t="str">
        <x:f>IF(OR(C118="",D118=""),"",C118*D118)</x:f>
      </x:c>
      <x:c r="F118"/>
    </x:row>
    <x:row r="119">
      <x:c r="A119" t="str">
        <x:v>iPhone 16</x:v>
      </x:c>
      <x:c r="B119" t="str">
        <x:v>OLED / Original quality</x:v>
      </x:c>
      <x:c r="C119" s="22"/>
      <x:c r="D119" s="18"/>
      <x:c r="E119" s="19" t="str">
        <x:f>IF(OR(C119="",D119=""),"",C119*D119)</x:f>
      </x:c>
      <x:c r="F119"/>
    </x:row>
    <x:row r="120">
      <x:c r="A120" t="str">
        <x:v>iPhone 16 Plus</x:v>
      </x:c>
      <x:c r="B120" t="str">
        <x:v>Normal LCD</x:v>
      </x:c>
      <x:c r="C120" s="22"/>
      <x:c r="D120" s="18"/>
      <x:c r="E120" s="19" t="str">
        <x:f>IF(OR(C120="",D120=""),"",C120*D120)</x:f>
      </x:c>
      <x:c r="F120"/>
    </x:row>
    <x:row r="121">
      <x:c r="A121" t="str">
        <x:v>iPhone 16 Plus</x:v>
      </x:c>
      <x:c r="B121" t="str">
        <x:v>Incell LCD</x:v>
      </x:c>
      <x:c r="C121" s="22"/>
      <x:c r="D121" s="18"/>
      <x:c r="E121" s="19" t="str">
        <x:f>IF(OR(C121="",D121=""),"",C121*D121)</x:f>
      </x:c>
      <x:c r="F121"/>
    </x:row>
    <x:row r="122">
      <x:c r="A122" t="str">
        <x:v>iPhone 16 Plus</x:v>
      </x:c>
      <x:c r="B122" t="str">
        <x:v>OLED / Original quality</x:v>
      </x:c>
      <x:c r="C122" s="22"/>
      <x:c r="D122" s="18"/>
      <x:c r="E122" s="19" t="str">
        <x:f>IF(OR(C122="",D122=""),"",C122*D122)</x:f>
      </x:c>
      <x:c r="F122"/>
    </x:row>
    <x:row r="123">
      <x:c r="A123" t="str">
        <x:v>iPhone 16 Pro</x:v>
      </x:c>
      <x:c r="B123" t="str">
        <x:v>Normal LCD</x:v>
      </x:c>
      <x:c r="C123" s="22"/>
      <x:c r="D123" s="18"/>
      <x:c r="E123" s="19" t="str">
        <x:f>IF(OR(C123="",D123=""),"",C123*D123)</x:f>
      </x:c>
      <x:c r="F123"/>
    </x:row>
    <x:row r="124">
      <x:c r="A124" t="str">
        <x:v>iPhone 16 Pro</x:v>
      </x:c>
      <x:c r="B124" t="str">
        <x:v>Incell LCD</x:v>
      </x:c>
      <x:c r="C124" s="22"/>
      <x:c r="D124" s="18"/>
      <x:c r="E124" s="19" t="str">
        <x:f>IF(OR(C124="",D124=""),"",C124*D124)</x:f>
      </x:c>
      <x:c r="F124"/>
    </x:row>
    <x:row r="125">
      <x:c r="A125" t="str">
        <x:v>iPhone 16 Pro</x:v>
      </x:c>
      <x:c r="B125" t="str">
        <x:v>OLED / Original quality</x:v>
      </x:c>
      <x:c r="C125" s="22"/>
      <x:c r="D125" s="18"/>
      <x:c r="E125" s="19" t="str">
        <x:f>IF(OR(C125="",D125=""),"",C125*D125)</x:f>
      </x:c>
      <x:c r="F125"/>
    </x:row>
    <x:row r="126">
      <x:c r="A126" t="str">
        <x:v>iPhone 16 Pro Max</x:v>
      </x:c>
      <x:c r="B126" t="str">
        <x:v>Normal LCD</x:v>
      </x:c>
      <x:c r="C126" s="22"/>
      <x:c r="D126" s="18"/>
      <x:c r="E126" s="19" t="str">
        <x:f>IF(OR(C126="",D126=""),"",C126*D126)</x:f>
      </x:c>
      <x:c r="F126"/>
    </x:row>
    <x:row r="127">
      <x:c r="A127" t="str">
        <x:v>iPhone 16 Pro Max</x:v>
      </x:c>
      <x:c r="B127" t="str">
        <x:v>Incell LCD</x:v>
      </x:c>
      <x:c r="C127" s="22"/>
      <x:c r="D127" s="18"/>
      <x:c r="E127" s="19" t="str">
        <x:f>IF(OR(C127="",D127=""),"",C127*D127)</x:f>
      </x:c>
      <x:c r="F127"/>
    </x:row>
    <x:row r="128">
      <x:c r="A128" t="str">
        <x:v>iPhone 16 Pro Max</x:v>
      </x:c>
      <x:c r="B128" t="str">
        <x:v>OLED / Original quality</x:v>
      </x:c>
      <x:c r="C128" s="22"/>
      <x:c r="D128" s="18"/>
      <x:c r="E128" s="19" t="str">
        <x:f>IF(OR(C128="",D128=""),"",C128*D128)</x:f>
      </x:c>
      <x:c r="F128"/>
    </x:row>
    <x:row r="129">
      <x:c r="A129" t="str">
        <x:v>iPhone 16e</x:v>
      </x:c>
      <x:c r="B129" t="str">
        <x:v>Normal LCD</x:v>
      </x:c>
      <x:c r="C129" s="22"/>
      <x:c r="D129" s="18"/>
      <x:c r="E129" s="19" t="str">
        <x:f>IF(OR(C129="",D129=""),"",C129*D129)</x:f>
      </x:c>
      <x:c r="F129"/>
    </x:row>
    <x:row r="130">
      <x:c r="A130" t="str">
        <x:v>iPhone 16e</x:v>
      </x:c>
      <x:c r="B130" t="str">
        <x:v>Incell LCD</x:v>
      </x:c>
      <x:c r="C130" s="22"/>
      <x:c r="D130" s="18"/>
      <x:c r="E130" s="19" t="str">
        <x:f>IF(OR(C130="",D130=""),"",C130*D130)</x:f>
      </x:c>
      <x:c r="F130"/>
    </x:row>
    <x:row r="131">
      <x:c r="A131" t="str">
        <x:v>iPhone 16e</x:v>
      </x:c>
      <x:c r="B131" t="str">
        <x:v>OLED / Original quality</x:v>
      </x:c>
      <x:c r="C131" s="22"/>
      <x:c r="D131" s="18"/>
      <x:c r="E131" s="19" t="str">
        <x:f>IF(OR(C131="",D131=""),"",C131*D131)</x:f>
      </x:c>
      <x:c r="F131"/>
    </x:row>
    <x:row r="132">
      <x:c r="A132" t="str">
        <x:v>iPhone 17</x:v>
      </x:c>
      <x:c r="B132" t="str">
        <x:v>Normal LCD</x:v>
      </x:c>
      <x:c r="C132" s="22"/>
      <x:c r="D132" s="18"/>
      <x:c r="E132" s="19" t="str">
        <x:f>IF(OR(C132="",D132=""),"",C132*D132)</x:f>
      </x:c>
      <x:c r="F132"/>
    </x:row>
    <x:row r="133">
      <x:c r="A133" t="str">
        <x:v>iPhone 17</x:v>
      </x:c>
      <x:c r="B133" t="str">
        <x:v>Incell LCD</x:v>
      </x:c>
      <x:c r="C133" s="22"/>
      <x:c r="D133" s="18"/>
      <x:c r="E133" s="19" t="str">
        <x:f>IF(OR(C133="",D133=""),"",C133*D133)</x:f>
      </x:c>
      <x:c r="F133"/>
    </x:row>
    <x:row r="134">
      <x:c r="A134" t="str">
        <x:v>iPhone 17</x:v>
      </x:c>
      <x:c r="B134" t="str">
        <x:v>OLED / Original quality</x:v>
      </x:c>
      <x:c r="C134" s="22"/>
      <x:c r="D134" s="18"/>
      <x:c r="E134" s="19" t="str">
        <x:f>IF(OR(C134="",D134=""),"",C134*D134)</x:f>
      </x:c>
      <x:c r="F134"/>
    </x:row>
    <x:row r="135">
      <x:c r="A135" t="str">
        <x:v>iPhone 17 Pro</x:v>
      </x:c>
      <x:c r="B135" t="str">
        <x:v>Normal LCD</x:v>
      </x:c>
      <x:c r="C135" s="22"/>
      <x:c r="D135" s="18"/>
      <x:c r="E135" s="19" t="str">
        <x:f>IF(OR(C135="",D135=""),"",C135*D135)</x:f>
      </x:c>
      <x:c r="F135"/>
    </x:row>
    <x:row r="136">
      <x:c r="A136" t="str">
        <x:v>iPhone 17 Pro</x:v>
      </x:c>
      <x:c r="B136" t="str">
        <x:v>Incell LCD</x:v>
      </x:c>
      <x:c r="C136" s="22"/>
      <x:c r="D136" s="18"/>
      <x:c r="E136" s="19" t="str">
        <x:f>IF(OR(C136="",D136=""),"",C136*D136)</x:f>
      </x:c>
      <x:c r="F136"/>
    </x:row>
    <x:row r="137">
      <x:c r="A137" t="str">
        <x:v>iPhone 17 Pro</x:v>
      </x:c>
      <x:c r="B137" t="str">
        <x:v>OLED / Original quality</x:v>
      </x:c>
      <x:c r="C137" s="22"/>
      <x:c r="D137" s="18"/>
      <x:c r="E137" s="19" t="str">
        <x:f>IF(OR(C137="",D137=""),"",C137*D137)</x:f>
      </x:c>
      <x:c r="F137"/>
    </x:row>
    <x:row r="138">
      <x:c r="A138" t="str">
        <x:v>iPhone 17 Pro Max</x:v>
      </x:c>
      <x:c r="B138" t="str">
        <x:v>Normal LCD</x:v>
      </x:c>
      <x:c r="C138" s="22"/>
      <x:c r="D138" s="18"/>
      <x:c r="E138" s="19" t="str">
        <x:f>IF(OR(C138="",D138=""),"",C138*D138)</x:f>
      </x:c>
      <x:c r="F138"/>
    </x:row>
    <x:row r="139">
      <x:c r="A139" t="str">
        <x:v>iPhone 17 Pro Max</x:v>
      </x:c>
      <x:c r="B139" t="str">
        <x:v>Incell LCD</x:v>
      </x:c>
      <x:c r="C139" s="22"/>
      <x:c r="D139" s="18"/>
      <x:c r="E139" s="19" t="str">
        <x:f>IF(OR(C139="",D139=""),"",C139*D139)</x:f>
      </x:c>
      <x:c r="F139"/>
    </x:row>
    <x:row r="140">
      <x:c r="A140" t="str">
        <x:v>iPhone 17 Pro Max</x:v>
      </x:c>
      <x:c r="B140" t="str">
        <x:v>OLED / Original quality</x:v>
      </x:c>
      <x:c r="C140" s="22"/>
      <x:c r="D140" s="18"/>
      <x:c r="E140" s="19" t="str">
        <x:f>IF(OR(C140="",D140=""),"",C140*D140)</x:f>
      </x:c>
      <x:c r="F140"/>
    </x:row>
    <x:row r="141">
      <x:c r="A141" t="str">
        <x:v>iPhone Air</x:v>
      </x:c>
      <x:c r="B141" t="str">
        <x:v>Normal LCD</x:v>
      </x:c>
      <x:c r="C141" s="22"/>
      <x:c r="D141" s="18"/>
      <x:c r="E141" s="19" t="str">
        <x:f>IF(OR(C141="",D141=""),"",C141*D141)</x:f>
      </x:c>
      <x:c r="F141"/>
    </x:row>
    <x:row r="142">
      <x:c r="A142" t="str">
        <x:v>iPhone Air</x:v>
      </x:c>
      <x:c r="B142" t="str">
        <x:v>Incell LCD</x:v>
      </x:c>
      <x:c r="C142" s="22"/>
      <x:c r="D142" s="18"/>
      <x:c r="E142" s="19" t="str">
        <x:f>IF(OR(C142="",D142=""),"",C142*D142)</x:f>
      </x:c>
      <x:c r="F142"/>
    </x:row>
    <x:row r="143">
      <x:c r="A143" t="str">
        <x:v>iPhone Air</x:v>
      </x:c>
      <x:c r="B143" t="str">
        <x:v>OLED / Original quality</x:v>
      </x:c>
      <x:c r="C143" s="22"/>
      <x:c r="D143" s="18"/>
      <x:c r="E143" s="19" t="str">
        <x:f>IF(OR(C143="",D143=""),"",C143*D143)</x:f>
      </x:c>
      <x:c r="F143"/>
    </x:row>
    <x:row r="144">
      <x:c r="A144" t="str">
        <x:v>iPhone 17e</x:v>
      </x:c>
      <x:c r="B144" t="str">
        <x:v>Normal LCD</x:v>
      </x:c>
      <x:c r="C144" s="22"/>
      <x:c r="D144" s="18"/>
      <x:c r="E144" s="19" t="str">
        <x:f>IF(OR(C144="",D144=""),"",C144*D144)</x:f>
      </x:c>
      <x:c r="F144"/>
    </x:row>
    <x:row r="145">
      <x:c r="A145" t="str">
        <x:v>iPhone 17e</x:v>
      </x:c>
      <x:c r="B145" t="str">
        <x:v>Incell LCD</x:v>
      </x:c>
      <x:c r="C145" s="22"/>
      <x:c r="D145" s="18"/>
      <x:c r="E145" s="19" t="str">
        <x:f>IF(OR(C145="",D145=""),"",C145*D145)</x:f>
      </x:c>
      <x:c r="F145"/>
    </x:row>
    <x:row r="146">
      <x:c r="A146" t="str">
        <x:v>iPhone 17e</x:v>
      </x:c>
      <x:c r="B146" t="str">
        <x:v>OLED / Original quality</x:v>
      </x:c>
      <x:c r="C146" s="22"/>
      <x:c r="D146" s="18"/>
      <x:c r="E146" s="19" t="str">
        <x:f>IF(OR(C146="",D146=""),"",C146*D146)</x:f>
      </x:c>
      <x:c r="F146"/>
    </x:row>
    <x:row r="147">
      <x:c r="D147" s="19"/>
      <x:c r="E147" s="19"/>
    </x:row>
    <x:row r="148" ht="30" customHeight="1">
      <x:c r="A148" s="10" t="str">
        <x:v>CATEGORY TOTAL (€)</x:v>
      </x:c>
      <x:c r="B148" s="10"/>
      <x:c r="C148" s="10"/>
      <x:c r="D148" s="25"/>
      <x:c r="E148" s="25" t="n">
        <x:f>SUM(E6:E146)</x:f>
        <x:v>0</x:v>
      </x:c>
      <x:c r="F148" s="10"/>
    </x:row>
  </x:sheetData>
  <x:mergeCells>
    <x:mergeCell ref="A1:F2"/>
    <x:mergeCell ref="A148:D14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29" hidden="0" customWidth="1"/>
    <x:col min="3" max="3" width="12" hidden="0" customWidth="1"/>
    <x:col min="4" max="4" width="20" hidden="0" customWidth="1"/>
    <x:col min="5" max="5" width="20" hidden="0" customWidth="1"/>
    <x:col min="6" max="6" width="33" hidden="0" customWidth="1"/>
  </x:cols>
  <x:sheetData>
    <x:row r="1" ht="25" customHeight="1">
      <x:c r="A1" s="14" t="str">
        <x:v>ZAFA TECH PARIS  |  IPHONE BACK PARTS</x:v>
      </x:c>
      <x:c r="B1" s="14"/>
      <x:c r="C1" s="14"/>
      <x:c r="D1" s="14"/>
      <x:c r="E1" s="14"/>
      <x:c r="F1" s="14"/>
    </x:row>
    <x:row r="2" ht="25" customHeight="1">
      <x:c r="A2" s="14"/>
      <x:c r="B2" s="14"/>
      <x:c r="C2" s="14"/>
      <x:c r="D2" s="14"/>
      <x:c r="E2" s="14"/>
      <x:c r="F2" s="14"/>
    </x:row>
    <x:row r="3">
      <x:c r="A3" t="str">
        <x:v>Fill in Qty and Unit Price (€). Blue cells are for your inputs.</x:v>
      </x:c>
    </x:row>
    <x:row r="5" ht="28" customHeight="1">
      <x:c r="A5" s="7" t="str">
        <x:v>Model</x:v>
      </x:c>
      <x:c r="B5" s="7" t="str">
        <x:v>Part Type</x:v>
      </x:c>
      <x:c r="C5" s="7" t="str">
        <x:v>Qty</x:v>
      </x:c>
      <x:c r="D5" s="7" t="str">
        <x:v>Unit Price (€)</x:v>
      </x:c>
      <x:c r="E5" s="7" t="str">
        <x:v>Total (€)</x:v>
      </x:c>
      <x:c r="F5" s="7" t="str">
        <x:v>Supplier / Notes</x:v>
      </x:c>
    </x:row>
    <x:row r="6">
      <x:c r="A6" t="str">
        <x:v>iPhone 5</x:v>
      </x:c>
      <x:c r="B6" t="str">
        <x:v>Back Glass</x:v>
      </x:c>
      <x:c r="C6" s="22"/>
      <x:c r="D6" s="18"/>
      <x:c r="E6" s="19" t="str">
        <x:f>IF(OR(C6="",D6=""),"",C6*D6)</x:f>
      </x:c>
      <x:c r="F6"/>
    </x:row>
    <x:row r="7">
      <x:c r="A7" t="str">
        <x:v>iPhone 5</x:v>
      </x:c>
      <x:c r="B7" t="str">
        <x:v>Back Cover / Housing</x:v>
      </x:c>
      <x:c r="C7" s="22"/>
      <x:c r="D7" s="18"/>
      <x:c r="E7" s="19" t="str">
        <x:f>IF(OR(C7="",D7=""),"",C7*D7)</x:f>
      </x:c>
      <x:c r="F7"/>
    </x:row>
    <x:row r="8">
      <x:c r="A8" t="str">
        <x:v>iPhone 5c</x:v>
      </x:c>
      <x:c r="B8" t="str">
        <x:v>Back Glass</x:v>
      </x:c>
      <x:c r="C8" s="22"/>
      <x:c r="D8" s="18"/>
      <x:c r="E8" s="19" t="str">
        <x:f>IF(OR(C8="",D8=""),"",C8*D8)</x:f>
      </x:c>
      <x:c r="F8"/>
    </x:row>
    <x:row r="9">
      <x:c r="A9" t="str">
        <x:v>iPhone 5c</x:v>
      </x:c>
      <x:c r="B9" t="str">
        <x:v>Back Cover / Housing</x:v>
      </x:c>
      <x:c r="C9" s="22"/>
      <x:c r="D9" s="18"/>
      <x:c r="E9" s="19" t="str">
        <x:f>IF(OR(C9="",D9=""),"",C9*D9)</x:f>
      </x:c>
      <x:c r="F9"/>
    </x:row>
    <x:row r="10">
      <x:c r="A10" t="str">
        <x:v>iPhone 5s</x:v>
      </x:c>
      <x:c r="B10" t="str">
        <x:v>Back Glass</x:v>
      </x:c>
      <x:c r="C10" s="22"/>
      <x:c r="D10" s="18"/>
      <x:c r="E10" s="19" t="str">
        <x:f>IF(OR(C10="",D10=""),"",C10*D10)</x:f>
      </x:c>
      <x:c r="F10"/>
    </x:row>
    <x:row r="11">
      <x:c r="A11" t="str">
        <x:v>iPhone 5s</x:v>
      </x:c>
      <x:c r="B11" t="str">
        <x:v>Back Cover / Housing</x:v>
      </x:c>
      <x:c r="C11" s="22"/>
      <x:c r="D11" s="18"/>
      <x:c r="E11" s="19" t="str">
        <x:f>IF(OR(C11="",D11=""),"",C11*D11)</x:f>
      </x:c>
      <x:c r="F11"/>
    </x:row>
    <x:row r="12">
      <x:c r="A12" t="str">
        <x:v>iPhone SE (2016)</x:v>
      </x:c>
      <x:c r="B12" t="str">
        <x:v>Back Glass</x:v>
      </x:c>
      <x:c r="C12" s="22"/>
      <x:c r="D12" s="18"/>
      <x:c r="E12" s="19" t="str">
        <x:f>IF(OR(C12="",D12=""),"",C12*D12)</x:f>
      </x:c>
      <x:c r="F12"/>
    </x:row>
    <x:row r="13">
      <x:c r="A13" t="str">
        <x:v>iPhone SE (2016)</x:v>
      </x:c>
      <x:c r="B13" t="str">
        <x:v>Back Cover / Housing</x:v>
      </x:c>
      <x:c r="C13" s="22"/>
      <x:c r="D13" s="18"/>
      <x:c r="E13" s="19" t="str">
        <x:f>IF(OR(C13="",D13=""),"",C13*D13)</x:f>
      </x:c>
      <x:c r="F13"/>
    </x:row>
    <x:row r="14">
      <x:c r="A14" t="str">
        <x:v>iPhone 6</x:v>
      </x:c>
      <x:c r="B14" t="str">
        <x:v>Back Glass</x:v>
      </x:c>
      <x:c r="C14" s="22"/>
      <x:c r="D14" s="18"/>
      <x:c r="E14" s="19" t="str">
        <x:f>IF(OR(C14="",D14=""),"",C14*D14)</x:f>
      </x:c>
      <x:c r="F14"/>
    </x:row>
    <x:row r="15">
      <x:c r="A15" t="str">
        <x:v>iPhone 6</x:v>
      </x:c>
      <x:c r="B15" t="str">
        <x:v>Back Cover / Housing</x:v>
      </x:c>
      <x:c r="C15" s="22"/>
      <x:c r="D15" s="18"/>
      <x:c r="E15" s="19" t="str">
        <x:f>IF(OR(C15="",D15=""),"",C15*D15)</x:f>
      </x:c>
      <x:c r="F15"/>
    </x:row>
    <x:row r="16">
      <x:c r="A16" t="str">
        <x:v>iPhone 6 Plus</x:v>
      </x:c>
      <x:c r="B16" t="str">
        <x:v>Back Glass</x:v>
      </x:c>
      <x:c r="C16" s="22"/>
      <x:c r="D16" s="18"/>
      <x:c r="E16" s="19" t="str">
        <x:f>IF(OR(C16="",D16=""),"",C16*D16)</x:f>
      </x:c>
      <x:c r="F16"/>
    </x:row>
    <x:row r="17">
      <x:c r="A17" t="str">
        <x:v>iPhone 6 Plus</x:v>
      </x:c>
      <x:c r="B17" t="str">
        <x:v>Back Cover / Housing</x:v>
      </x:c>
      <x:c r="C17" s="22"/>
      <x:c r="D17" s="18"/>
      <x:c r="E17" s="19" t="str">
        <x:f>IF(OR(C17="",D17=""),"",C17*D17)</x:f>
      </x:c>
      <x:c r="F17"/>
    </x:row>
    <x:row r="18">
      <x:c r="A18" t="str">
        <x:v>iPhone 6s</x:v>
      </x:c>
      <x:c r="B18" t="str">
        <x:v>Back Glass</x:v>
      </x:c>
      <x:c r="C18" s="22"/>
      <x:c r="D18" s="18"/>
      <x:c r="E18" s="19" t="str">
        <x:f>IF(OR(C18="",D18=""),"",C18*D18)</x:f>
      </x:c>
      <x:c r="F18"/>
    </x:row>
    <x:row r="19">
      <x:c r="A19" t="str">
        <x:v>iPhone 6s</x:v>
      </x:c>
      <x:c r="B19" t="str">
        <x:v>Back Cover / Housing</x:v>
      </x:c>
      <x:c r="C19" s="22"/>
      <x:c r="D19" s="18"/>
      <x:c r="E19" s="19" t="str">
        <x:f>IF(OR(C19="",D19=""),"",C19*D19)</x:f>
      </x:c>
      <x:c r="F19"/>
    </x:row>
    <x:row r="20">
      <x:c r="A20" t="str">
        <x:v>iPhone 6s Plus</x:v>
      </x:c>
      <x:c r="B20" t="str">
        <x:v>Back Glass</x:v>
      </x:c>
      <x:c r="C20" s="22"/>
      <x:c r="D20" s="18"/>
      <x:c r="E20" s="19" t="str">
        <x:f>IF(OR(C20="",D20=""),"",C20*D20)</x:f>
      </x:c>
      <x:c r="F20"/>
    </x:row>
    <x:row r="21">
      <x:c r="A21" t="str">
        <x:v>iPhone 6s Plus</x:v>
      </x:c>
      <x:c r="B21" t="str">
        <x:v>Back Cover / Housing</x:v>
      </x:c>
      <x:c r="C21" s="22"/>
      <x:c r="D21" s="18"/>
      <x:c r="E21" s="19" t="str">
        <x:f>IF(OR(C21="",D21=""),"",C21*D21)</x:f>
      </x:c>
      <x:c r="F21"/>
    </x:row>
    <x:row r="22">
      <x:c r="A22" t="str">
        <x:v>iPhone 7</x:v>
      </x:c>
      <x:c r="B22" t="str">
        <x:v>Back Glass</x:v>
      </x:c>
      <x:c r="C22" s="22"/>
      <x:c r="D22" s="18"/>
      <x:c r="E22" s="19" t="str">
        <x:f>IF(OR(C22="",D22=""),"",C22*D22)</x:f>
      </x:c>
      <x:c r="F22"/>
    </x:row>
    <x:row r="23">
      <x:c r="A23" t="str">
        <x:v>iPhone 7</x:v>
      </x:c>
      <x:c r="B23" t="str">
        <x:v>Back Cover / Housing</x:v>
      </x:c>
      <x:c r="C23" s="22"/>
      <x:c r="D23" s="18"/>
      <x:c r="E23" s="19" t="str">
        <x:f>IF(OR(C23="",D23=""),"",C23*D23)</x:f>
      </x:c>
      <x:c r="F23"/>
    </x:row>
    <x:row r="24">
      <x:c r="A24" t="str">
        <x:v>iPhone 7 Plus</x:v>
      </x:c>
      <x:c r="B24" t="str">
        <x:v>Back Glass</x:v>
      </x:c>
      <x:c r="C24" s="22"/>
      <x:c r="D24" s="18"/>
      <x:c r="E24" s="19" t="str">
        <x:f>IF(OR(C24="",D24=""),"",C24*D24)</x:f>
      </x:c>
      <x:c r="F24"/>
    </x:row>
    <x:row r="25">
      <x:c r="A25" t="str">
        <x:v>iPhone 7 Plus</x:v>
      </x:c>
      <x:c r="B25" t="str">
        <x:v>Back Cover / Housing</x:v>
      </x:c>
      <x:c r="C25" s="22"/>
      <x:c r="D25" s="18"/>
      <x:c r="E25" s="19" t="str">
        <x:f>IF(OR(C25="",D25=""),"",C25*D25)</x:f>
      </x:c>
      <x:c r="F25"/>
    </x:row>
    <x:row r="26">
      <x:c r="A26" t="str">
        <x:v>iPhone 8</x:v>
      </x:c>
      <x:c r="B26" t="str">
        <x:v>Back Glass</x:v>
      </x:c>
      <x:c r="C26" s="22"/>
      <x:c r="D26" s="18"/>
      <x:c r="E26" s="19" t="str">
        <x:f>IF(OR(C26="",D26=""),"",C26*D26)</x:f>
      </x:c>
      <x:c r="F26"/>
    </x:row>
    <x:row r="27">
      <x:c r="A27" t="str">
        <x:v>iPhone 8</x:v>
      </x:c>
      <x:c r="B27" t="str">
        <x:v>Back Cover / Housing</x:v>
      </x:c>
      <x:c r="C27" s="22"/>
      <x:c r="D27" s="18"/>
      <x:c r="E27" s="19" t="str">
        <x:f>IF(OR(C27="",D27=""),"",C27*D27)</x:f>
      </x:c>
      <x:c r="F27"/>
    </x:row>
    <x:row r="28">
      <x:c r="A28" t="str">
        <x:v>iPhone 8 Plus</x:v>
      </x:c>
      <x:c r="B28" t="str">
        <x:v>Back Glass</x:v>
      </x:c>
      <x:c r="C28" s="22"/>
      <x:c r="D28" s="18"/>
      <x:c r="E28" s="19" t="str">
        <x:f>IF(OR(C28="",D28=""),"",C28*D28)</x:f>
      </x:c>
      <x:c r="F28"/>
    </x:row>
    <x:row r="29">
      <x:c r="A29" t="str">
        <x:v>iPhone 8 Plus</x:v>
      </x:c>
      <x:c r="B29" t="str">
        <x:v>Back Cover / Housing</x:v>
      </x:c>
      <x:c r="C29" s="22"/>
      <x:c r="D29" s="18"/>
      <x:c r="E29" s="19" t="str">
        <x:f>IF(OR(C29="",D29=""),"",C29*D29)</x:f>
      </x:c>
      <x:c r="F29"/>
    </x:row>
    <x:row r="30">
      <x:c r="A30" t="str">
        <x:v>iPhone X</x:v>
      </x:c>
      <x:c r="B30" t="str">
        <x:v>Back Glass</x:v>
      </x:c>
      <x:c r="C30" s="22"/>
      <x:c r="D30" s="18"/>
      <x:c r="E30" s="19" t="str">
        <x:f>IF(OR(C30="",D30=""),"",C30*D30)</x:f>
      </x:c>
      <x:c r="F30"/>
    </x:row>
    <x:row r="31">
      <x:c r="A31" t="str">
        <x:v>iPhone X</x:v>
      </x:c>
      <x:c r="B31" t="str">
        <x:v>Back Cover / Housing</x:v>
      </x:c>
      <x:c r="C31" s="22"/>
      <x:c r="D31" s="18"/>
      <x:c r="E31" s="19" t="str">
        <x:f>IF(OR(C31="",D31=""),"",C31*D31)</x:f>
      </x:c>
      <x:c r="F31"/>
    </x:row>
    <x:row r="32">
      <x:c r="A32" t="str">
        <x:v>iPhone XR</x:v>
      </x:c>
      <x:c r="B32" t="str">
        <x:v>Back Glass</x:v>
      </x:c>
      <x:c r="C32" s="22"/>
      <x:c r="D32" s="18"/>
      <x:c r="E32" s="19" t="str">
        <x:f>IF(OR(C32="",D32=""),"",C32*D32)</x:f>
      </x:c>
      <x:c r="F32"/>
    </x:row>
    <x:row r="33">
      <x:c r="A33" t="str">
        <x:v>iPhone XR</x:v>
      </x:c>
      <x:c r="B33" t="str">
        <x:v>Back Cover / Housing</x:v>
      </x:c>
      <x:c r="C33" s="22"/>
      <x:c r="D33" s="18"/>
      <x:c r="E33" s="19" t="str">
        <x:f>IF(OR(C33="",D33=""),"",C33*D33)</x:f>
      </x:c>
      <x:c r="F33"/>
    </x:row>
    <x:row r="34">
      <x:c r="A34" t="str">
        <x:v>iPhone XS</x:v>
      </x:c>
      <x:c r="B34" t="str">
        <x:v>Back Glass</x:v>
      </x:c>
      <x:c r="C34" s="22"/>
      <x:c r="D34" s="18"/>
      <x:c r="E34" s="19" t="str">
        <x:f>IF(OR(C34="",D34=""),"",C34*D34)</x:f>
      </x:c>
      <x:c r="F34"/>
    </x:row>
    <x:row r="35">
      <x:c r="A35" t="str">
        <x:v>iPhone XS</x:v>
      </x:c>
      <x:c r="B35" t="str">
        <x:v>Back Cover / Housing</x:v>
      </x:c>
      <x:c r="C35" s="22"/>
      <x:c r="D35" s="18"/>
      <x:c r="E35" s="19" t="str">
        <x:f>IF(OR(C35="",D35=""),"",C35*D35)</x:f>
      </x:c>
      <x:c r="F35"/>
    </x:row>
    <x:row r="36">
      <x:c r="A36" t="str">
        <x:v>iPhone XS Max</x:v>
      </x:c>
      <x:c r="B36" t="str">
        <x:v>Back Glass</x:v>
      </x:c>
      <x:c r="C36" s="22"/>
      <x:c r="D36" s="18"/>
      <x:c r="E36" s="19" t="str">
        <x:f>IF(OR(C36="",D36=""),"",C36*D36)</x:f>
      </x:c>
      <x:c r="F36"/>
    </x:row>
    <x:row r="37">
      <x:c r="A37" t="str">
        <x:v>iPhone XS Max</x:v>
      </x:c>
      <x:c r="B37" t="str">
        <x:v>Back Cover / Housing</x:v>
      </x:c>
      <x:c r="C37" s="22"/>
      <x:c r="D37" s="18"/>
      <x:c r="E37" s="19" t="str">
        <x:f>IF(OR(C37="",D37=""),"",C37*D37)</x:f>
      </x:c>
      <x:c r="F37"/>
    </x:row>
    <x:row r="38">
      <x:c r="A38" t="str">
        <x:v>iPhone 11</x:v>
      </x:c>
      <x:c r="B38" t="str">
        <x:v>Back Glass</x:v>
      </x:c>
      <x:c r="C38" s="22"/>
      <x:c r="D38" s="18"/>
      <x:c r="E38" s="19" t="str">
        <x:f>IF(OR(C38="",D38=""),"",C38*D38)</x:f>
      </x:c>
      <x:c r="F38"/>
    </x:row>
    <x:row r="39">
      <x:c r="A39" t="str">
        <x:v>iPhone 11</x:v>
      </x:c>
      <x:c r="B39" t="str">
        <x:v>Back Cover / Housing</x:v>
      </x:c>
      <x:c r="C39" s="22"/>
      <x:c r="D39" s="18"/>
      <x:c r="E39" s="19" t="str">
        <x:f>IF(OR(C39="",D39=""),"",C39*D39)</x:f>
      </x:c>
      <x:c r="F39"/>
    </x:row>
    <x:row r="40">
      <x:c r="A40" t="str">
        <x:v>iPhone 11 Pro</x:v>
      </x:c>
      <x:c r="B40" t="str">
        <x:v>Back Glass</x:v>
      </x:c>
      <x:c r="C40" s="22"/>
      <x:c r="D40" s="18"/>
      <x:c r="E40" s="19" t="str">
        <x:f>IF(OR(C40="",D40=""),"",C40*D40)</x:f>
      </x:c>
      <x:c r="F40"/>
    </x:row>
    <x:row r="41">
      <x:c r="A41" t="str">
        <x:v>iPhone 11 Pro</x:v>
      </x:c>
      <x:c r="B41" t="str">
        <x:v>Back Cover / Housing</x:v>
      </x:c>
      <x:c r="C41" s="22"/>
      <x:c r="D41" s="18"/>
      <x:c r="E41" s="19" t="str">
        <x:f>IF(OR(C41="",D41=""),"",C41*D41)</x:f>
      </x:c>
      <x:c r="F41"/>
    </x:row>
    <x:row r="42">
      <x:c r="A42" t="str">
        <x:v>iPhone 11 Pro Max</x:v>
      </x:c>
      <x:c r="B42" t="str">
        <x:v>Back Glass</x:v>
      </x:c>
      <x:c r="C42" s="22"/>
      <x:c r="D42" s="18"/>
      <x:c r="E42" s="19" t="str">
        <x:f>IF(OR(C42="",D42=""),"",C42*D42)</x:f>
      </x:c>
      <x:c r="F42"/>
    </x:row>
    <x:row r="43">
      <x:c r="A43" t="str">
        <x:v>iPhone 11 Pro Max</x:v>
      </x:c>
      <x:c r="B43" t="str">
        <x:v>Back Cover / Housing</x:v>
      </x:c>
      <x:c r="C43" s="22"/>
      <x:c r="D43" s="18"/>
      <x:c r="E43" s="19" t="str">
        <x:f>IF(OR(C43="",D43=""),"",C43*D43)</x:f>
      </x:c>
      <x:c r="F43"/>
    </x:row>
    <x:row r="44">
      <x:c r="A44" t="str">
        <x:v>iPhone SE (2020)</x:v>
      </x:c>
      <x:c r="B44" t="str">
        <x:v>Back Glass</x:v>
      </x:c>
      <x:c r="C44" s="22"/>
      <x:c r="D44" s="18"/>
      <x:c r="E44" s="19" t="str">
        <x:f>IF(OR(C44="",D44=""),"",C44*D44)</x:f>
      </x:c>
      <x:c r="F44"/>
    </x:row>
    <x:row r="45">
      <x:c r="A45" t="str">
        <x:v>iPhone SE (2020)</x:v>
      </x:c>
      <x:c r="B45" t="str">
        <x:v>Back Cover / Housing</x:v>
      </x:c>
      <x:c r="C45" s="22"/>
      <x:c r="D45" s="18"/>
      <x:c r="E45" s="19" t="str">
        <x:f>IF(OR(C45="",D45=""),"",C45*D45)</x:f>
      </x:c>
      <x:c r="F45"/>
    </x:row>
    <x:row r="46">
      <x:c r="A46" t="str">
        <x:v>iPhone 12 mini</x:v>
      </x:c>
      <x:c r="B46" t="str">
        <x:v>Back Glass</x:v>
      </x:c>
      <x:c r="C46" s="22"/>
      <x:c r="D46" s="18"/>
      <x:c r="E46" s="19" t="str">
        <x:f>IF(OR(C46="",D46=""),"",C46*D46)</x:f>
      </x:c>
      <x:c r="F46"/>
    </x:row>
    <x:row r="47">
      <x:c r="A47" t="str">
        <x:v>iPhone 12 mini</x:v>
      </x:c>
      <x:c r="B47" t="str">
        <x:v>Back Cover / Housing</x:v>
      </x:c>
      <x:c r="C47" s="22"/>
      <x:c r="D47" s="18"/>
      <x:c r="E47" s="19" t="str">
        <x:f>IF(OR(C47="",D47=""),"",C47*D47)</x:f>
      </x:c>
      <x:c r="F47"/>
    </x:row>
    <x:row r="48">
      <x:c r="A48" t="str">
        <x:v>iPhone 12</x:v>
      </x:c>
      <x:c r="B48" t="str">
        <x:v>Back Glass</x:v>
      </x:c>
      <x:c r="C48" s="22"/>
      <x:c r="D48" s="18"/>
      <x:c r="E48" s="19" t="str">
        <x:f>IF(OR(C48="",D48=""),"",C48*D48)</x:f>
      </x:c>
      <x:c r="F48"/>
    </x:row>
    <x:row r="49">
      <x:c r="A49" t="str">
        <x:v>iPhone 12</x:v>
      </x:c>
      <x:c r="B49" t="str">
        <x:v>Back Cover / Housing</x:v>
      </x:c>
      <x:c r="C49" s="22"/>
      <x:c r="D49" s="18"/>
      <x:c r="E49" s="19" t="str">
        <x:f>IF(OR(C49="",D49=""),"",C49*D49)</x:f>
      </x:c>
      <x:c r="F49"/>
    </x:row>
    <x:row r="50">
      <x:c r="A50" t="str">
        <x:v>iPhone 12 Pro</x:v>
      </x:c>
      <x:c r="B50" t="str">
        <x:v>Back Glass</x:v>
      </x:c>
      <x:c r="C50" s="22"/>
      <x:c r="D50" s="18"/>
      <x:c r="E50" s="19" t="str">
        <x:f>IF(OR(C50="",D50=""),"",C50*D50)</x:f>
      </x:c>
      <x:c r="F50"/>
    </x:row>
    <x:row r="51">
      <x:c r="A51" t="str">
        <x:v>iPhone 12 Pro</x:v>
      </x:c>
      <x:c r="B51" t="str">
        <x:v>Back Cover / Housing</x:v>
      </x:c>
      <x:c r="C51" s="22"/>
      <x:c r="D51" s="18"/>
      <x:c r="E51" s="19" t="str">
        <x:f>IF(OR(C51="",D51=""),"",C51*D51)</x:f>
      </x:c>
      <x:c r="F51"/>
    </x:row>
    <x:row r="52">
      <x:c r="A52" t="str">
        <x:v>iPhone 12 Pro Max</x:v>
      </x:c>
      <x:c r="B52" t="str">
        <x:v>Back Glass</x:v>
      </x:c>
      <x:c r="C52" s="22"/>
      <x:c r="D52" s="18"/>
      <x:c r="E52" s="19" t="str">
        <x:f>IF(OR(C52="",D52=""),"",C52*D52)</x:f>
      </x:c>
      <x:c r="F52"/>
    </x:row>
    <x:row r="53">
      <x:c r="A53" t="str">
        <x:v>iPhone 12 Pro Max</x:v>
      </x:c>
      <x:c r="B53" t="str">
        <x:v>Back Cover / Housing</x:v>
      </x:c>
      <x:c r="C53" s="22"/>
      <x:c r="D53" s="18"/>
      <x:c r="E53" s="19" t="str">
        <x:f>IF(OR(C53="",D53=""),"",C53*D53)</x:f>
      </x:c>
      <x:c r="F53"/>
    </x:row>
    <x:row r="54">
      <x:c r="A54" t="str">
        <x:v>iPhone 13 mini</x:v>
      </x:c>
      <x:c r="B54" t="str">
        <x:v>Back Glass</x:v>
      </x:c>
      <x:c r="C54" s="22"/>
      <x:c r="D54" s="18"/>
      <x:c r="E54" s="19" t="str">
        <x:f>IF(OR(C54="",D54=""),"",C54*D54)</x:f>
      </x:c>
      <x:c r="F54"/>
    </x:row>
    <x:row r="55">
      <x:c r="A55" t="str">
        <x:v>iPhone 13 mini</x:v>
      </x:c>
      <x:c r="B55" t="str">
        <x:v>Back Cover / Housing</x:v>
      </x:c>
      <x:c r="C55" s="22"/>
      <x:c r="D55" s="18"/>
      <x:c r="E55" s="19" t="str">
        <x:f>IF(OR(C55="",D55=""),"",C55*D55)</x:f>
      </x:c>
      <x:c r="F55"/>
    </x:row>
    <x:row r="56">
      <x:c r="A56" t="str">
        <x:v>iPhone 13</x:v>
      </x:c>
      <x:c r="B56" t="str">
        <x:v>Back Glass</x:v>
      </x:c>
      <x:c r="C56" s="22"/>
      <x:c r="D56" s="18"/>
      <x:c r="E56" s="19" t="str">
        <x:f>IF(OR(C56="",D56=""),"",C56*D56)</x:f>
      </x:c>
      <x:c r="F56"/>
    </x:row>
    <x:row r="57">
      <x:c r="A57" t="str">
        <x:v>iPhone 13</x:v>
      </x:c>
      <x:c r="B57" t="str">
        <x:v>Back Cover / Housing</x:v>
      </x:c>
      <x:c r="C57" s="22"/>
      <x:c r="D57" s="18"/>
      <x:c r="E57" s="19" t="str">
        <x:f>IF(OR(C57="",D57=""),"",C57*D57)</x:f>
      </x:c>
      <x:c r="F57"/>
    </x:row>
    <x:row r="58">
      <x:c r="A58" t="str">
        <x:v>iPhone 13 Pro</x:v>
      </x:c>
      <x:c r="B58" t="str">
        <x:v>Back Glass</x:v>
      </x:c>
      <x:c r="C58" s="22"/>
      <x:c r="D58" s="18"/>
      <x:c r="E58" s="19" t="str">
        <x:f>IF(OR(C58="",D58=""),"",C58*D58)</x:f>
      </x:c>
      <x:c r="F58"/>
    </x:row>
    <x:row r="59">
      <x:c r="A59" t="str">
        <x:v>iPhone 13 Pro</x:v>
      </x:c>
      <x:c r="B59" t="str">
        <x:v>Back Cover / Housing</x:v>
      </x:c>
      <x:c r="C59" s="22"/>
      <x:c r="D59" s="18"/>
      <x:c r="E59" s="19" t="str">
        <x:f>IF(OR(C59="",D59=""),"",C59*D59)</x:f>
      </x:c>
      <x:c r="F59"/>
    </x:row>
    <x:row r="60">
      <x:c r="A60" t="str">
        <x:v>iPhone 13 Pro Max</x:v>
      </x:c>
      <x:c r="B60" t="str">
        <x:v>Back Glass</x:v>
      </x:c>
      <x:c r="C60" s="22"/>
      <x:c r="D60" s="18"/>
      <x:c r="E60" s="19" t="str">
        <x:f>IF(OR(C60="",D60=""),"",C60*D60)</x:f>
      </x:c>
      <x:c r="F60"/>
    </x:row>
    <x:row r="61">
      <x:c r="A61" t="str">
        <x:v>iPhone 13 Pro Max</x:v>
      </x:c>
      <x:c r="B61" t="str">
        <x:v>Back Cover / Housing</x:v>
      </x:c>
      <x:c r="C61" s="22"/>
      <x:c r="D61" s="18"/>
      <x:c r="E61" s="19" t="str">
        <x:f>IF(OR(C61="",D61=""),"",C61*D61)</x:f>
      </x:c>
      <x:c r="F61"/>
    </x:row>
    <x:row r="62">
      <x:c r="A62" t="str">
        <x:v>iPhone SE (2022)</x:v>
      </x:c>
      <x:c r="B62" t="str">
        <x:v>Back Glass</x:v>
      </x:c>
      <x:c r="C62" s="22"/>
      <x:c r="D62" s="18"/>
      <x:c r="E62" s="19" t="str">
        <x:f>IF(OR(C62="",D62=""),"",C62*D62)</x:f>
      </x:c>
      <x:c r="F62"/>
    </x:row>
    <x:row r="63">
      <x:c r="A63" t="str">
        <x:v>iPhone SE (2022)</x:v>
      </x:c>
      <x:c r="B63" t="str">
        <x:v>Back Cover / Housing</x:v>
      </x:c>
      <x:c r="C63" s="22"/>
      <x:c r="D63" s="18"/>
      <x:c r="E63" s="19" t="str">
        <x:f>IF(OR(C63="",D63=""),"",C63*D63)</x:f>
      </x:c>
      <x:c r="F63"/>
    </x:row>
    <x:row r="64">
      <x:c r="A64" t="str">
        <x:v>iPhone 14</x:v>
      </x:c>
      <x:c r="B64" t="str">
        <x:v>Back Glass</x:v>
      </x:c>
      <x:c r="C64" s="22"/>
      <x:c r="D64" s="18"/>
      <x:c r="E64" s="19" t="str">
        <x:f>IF(OR(C64="",D64=""),"",C64*D64)</x:f>
      </x:c>
      <x:c r="F64"/>
    </x:row>
    <x:row r="65">
      <x:c r="A65" t="str">
        <x:v>iPhone 14</x:v>
      </x:c>
      <x:c r="B65" t="str">
        <x:v>Back Cover / Housing</x:v>
      </x:c>
      <x:c r="C65" s="22"/>
      <x:c r="D65" s="18"/>
      <x:c r="E65" s="19" t="str">
        <x:f>IF(OR(C65="",D65=""),"",C65*D65)</x:f>
      </x:c>
      <x:c r="F65"/>
    </x:row>
    <x:row r="66">
      <x:c r="A66" t="str">
        <x:v>iPhone 14 Plus</x:v>
      </x:c>
      <x:c r="B66" t="str">
        <x:v>Back Glass</x:v>
      </x:c>
      <x:c r="C66" s="22"/>
      <x:c r="D66" s="18"/>
      <x:c r="E66" s="19" t="str">
        <x:f>IF(OR(C66="",D66=""),"",C66*D66)</x:f>
      </x:c>
      <x:c r="F66"/>
    </x:row>
    <x:row r="67">
      <x:c r="A67" t="str">
        <x:v>iPhone 14 Plus</x:v>
      </x:c>
      <x:c r="B67" t="str">
        <x:v>Back Cover / Housing</x:v>
      </x:c>
      <x:c r="C67" s="22"/>
      <x:c r="D67" s="18"/>
      <x:c r="E67" s="19" t="str">
        <x:f>IF(OR(C67="",D67=""),"",C67*D67)</x:f>
      </x:c>
      <x:c r="F67"/>
    </x:row>
    <x:row r="68">
      <x:c r="A68" t="str">
        <x:v>iPhone 14 Pro</x:v>
      </x:c>
      <x:c r="B68" t="str">
        <x:v>Back Glass</x:v>
      </x:c>
      <x:c r="C68" s="22"/>
      <x:c r="D68" s="18"/>
      <x:c r="E68" s="19" t="str">
        <x:f>IF(OR(C68="",D68=""),"",C68*D68)</x:f>
      </x:c>
      <x:c r="F68"/>
    </x:row>
    <x:row r="69">
      <x:c r="A69" t="str">
        <x:v>iPhone 14 Pro</x:v>
      </x:c>
      <x:c r="B69" t="str">
        <x:v>Back Cover / Housing</x:v>
      </x:c>
      <x:c r="C69" s="22"/>
      <x:c r="D69" s="18"/>
      <x:c r="E69" s="19" t="str">
        <x:f>IF(OR(C69="",D69=""),"",C69*D69)</x:f>
      </x:c>
      <x:c r="F69"/>
    </x:row>
    <x:row r="70">
      <x:c r="A70" t="str">
        <x:v>iPhone 14 Pro Max</x:v>
      </x:c>
      <x:c r="B70" t="str">
        <x:v>Back Glass</x:v>
      </x:c>
      <x:c r="C70" s="22"/>
      <x:c r="D70" s="18"/>
      <x:c r="E70" s="19" t="str">
        <x:f>IF(OR(C70="",D70=""),"",C70*D70)</x:f>
      </x:c>
      <x:c r="F70"/>
    </x:row>
    <x:row r="71">
      <x:c r="A71" t="str">
        <x:v>iPhone 14 Pro Max</x:v>
      </x:c>
      <x:c r="B71" t="str">
        <x:v>Back Cover / Housing</x:v>
      </x:c>
      <x:c r="C71" s="22"/>
      <x:c r="D71" s="18"/>
      <x:c r="E71" s="19" t="str">
        <x:f>IF(OR(C71="",D71=""),"",C71*D71)</x:f>
      </x:c>
      <x:c r="F71"/>
    </x:row>
    <x:row r="72">
      <x:c r="A72" t="str">
        <x:v>iPhone 15</x:v>
      </x:c>
      <x:c r="B72" t="str">
        <x:v>Back Glass</x:v>
      </x:c>
      <x:c r="C72" s="22"/>
      <x:c r="D72" s="18"/>
      <x:c r="E72" s="19" t="str">
        <x:f>IF(OR(C72="",D72=""),"",C72*D72)</x:f>
      </x:c>
      <x:c r="F72"/>
    </x:row>
    <x:row r="73">
      <x:c r="A73" t="str">
        <x:v>iPhone 15</x:v>
      </x:c>
      <x:c r="B73" t="str">
        <x:v>Back Cover / Housing</x:v>
      </x:c>
      <x:c r="C73" s="22"/>
      <x:c r="D73" s="18"/>
      <x:c r="E73" s="19" t="str">
        <x:f>IF(OR(C73="",D73=""),"",C73*D73)</x:f>
      </x:c>
      <x:c r="F73"/>
    </x:row>
    <x:row r="74">
      <x:c r="A74" t="str">
        <x:v>iPhone 15 Plus</x:v>
      </x:c>
      <x:c r="B74" t="str">
        <x:v>Back Glass</x:v>
      </x:c>
      <x:c r="C74" s="22"/>
      <x:c r="D74" s="18"/>
      <x:c r="E74" s="19" t="str">
        <x:f>IF(OR(C74="",D74=""),"",C74*D74)</x:f>
      </x:c>
      <x:c r="F74"/>
    </x:row>
    <x:row r="75">
      <x:c r="A75" t="str">
        <x:v>iPhone 15 Plus</x:v>
      </x:c>
      <x:c r="B75" t="str">
        <x:v>Back Cover / Housing</x:v>
      </x:c>
      <x:c r="C75" s="22"/>
      <x:c r="D75" s="18"/>
      <x:c r="E75" s="19" t="str">
        <x:f>IF(OR(C75="",D75=""),"",C75*D75)</x:f>
      </x:c>
      <x:c r="F75"/>
    </x:row>
    <x:row r="76">
      <x:c r="A76" t="str">
        <x:v>iPhone 15 Pro</x:v>
      </x:c>
      <x:c r="B76" t="str">
        <x:v>Back Glass</x:v>
      </x:c>
      <x:c r="C76" s="22"/>
      <x:c r="D76" s="18"/>
      <x:c r="E76" s="19" t="str">
        <x:f>IF(OR(C76="",D76=""),"",C76*D76)</x:f>
      </x:c>
      <x:c r="F76"/>
    </x:row>
    <x:row r="77">
      <x:c r="A77" t="str">
        <x:v>iPhone 15 Pro</x:v>
      </x:c>
      <x:c r="B77" t="str">
        <x:v>Back Cover / Housing</x:v>
      </x:c>
      <x:c r="C77" s="22"/>
      <x:c r="D77" s="18"/>
      <x:c r="E77" s="19" t="str">
        <x:f>IF(OR(C77="",D77=""),"",C77*D77)</x:f>
      </x:c>
      <x:c r="F77"/>
    </x:row>
    <x:row r="78">
      <x:c r="A78" t="str">
        <x:v>iPhone 15 Pro Max</x:v>
      </x:c>
      <x:c r="B78" t="str">
        <x:v>Back Glass</x:v>
      </x:c>
      <x:c r="C78" s="22"/>
      <x:c r="D78" s="18"/>
      <x:c r="E78" s="19" t="str">
        <x:f>IF(OR(C78="",D78=""),"",C78*D78)</x:f>
      </x:c>
      <x:c r="F78"/>
    </x:row>
    <x:row r="79">
      <x:c r="A79" t="str">
        <x:v>iPhone 15 Pro Max</x:v>
      </x:c>
      <x:c r="B79" t="str">
        <x:v>Back Cover / Housing</x:v>
      </x:c>
      <x:c r="C79" s="22"/>
      <x:c r="D79" s="18"/>
      <x:c r="E79" s="19" t="str">
        <x:f>IF(OR(C79="",D79=""),"",C79*D79)</x:f>
      </x:c>
      <x:c r="F79"/>
    </x:row>
    <x:row r="80">
      <x:c r="A80" t="str">
        <x:v>iPhone 16</x:v>
      </x:c>
      <x:c r="B80" t="str">
        <x:v>Back Glass</x:v>
      </x:c>
      <x:c r="C80" s="22"/>
      <x:c r="D80" s="18"/>
      <x:c r="E80" s="19" t="str">
        <x:f>IF(OR(C80="",D80=""),"",C80*D80)</x:f>
      </x:c>
      <x:c r="F80"/>
    </x:row>
    <x:row r="81">
      <x:c r="A81" t="str">
        <x:v>iPhone 16</x:v>
      </x:c>
      <x:c r="B81" t="str">
        <x:v>Back Cover / Housing</x:v>
      </x:c>
      <x:c r="C81" s="22"/>
      <x:c r="D81" s="18"/>
      <x:c r="E81" s="19" t="str">
        <x:f>IF(OR(C81="",D81=""),"",C81*D81)</x:f>
      </x:c>
      <x:c r="F81"/>
    </x:row>
    <x:row r="82">
      <x:c r="A82" t="str">
        <x:v>iPhone 16 Plus</x:v>
      </x:c>
      <x:c r="B82" t="str">
        <x:v>Back Glass</x:v>
      </x:c>
      <x:c r="C82" s="22"/>
      <x:c r="D82" s="18"/>
      <x:c r="E82" s="19" t="str">
        <x:f>IF(OR(C82="",D82=""),"",C82*D82)</x:f>
      </x:c>
      <x:c r="F82"/>
    </x:row>
    <x:row r="83">
      <x:c r="A83" t="str">
        <x:v>iPhone 16 Plus</x:v>
      </x:c>
      <x:c r="B83" t="str">
        <x:v>Back Cover / Housing</x:v>
      </x:c>
      <x:c r="C83" s="22"/>
      <x:c r="D83" s="18"/>
      <x:c r="E83" s="19" t="str">
        <x:f>IF(OR(C83="",D83=""),"",C83*D83)</x:f>
      </x:c>
      <x:c r="F83"/>
    </x:row>
    <x:row r="84">
      <x:c r="A84" t="str">
        <x:v>iPhone 16 Pro</x:v>
      </x:c>
      <x:c r="B84" t="str">
        <x:v>Back Glass</x:v>
      </x:c>
      <x:c r="C84" s="22"/>
      <x:c r="D84" s="18"/>
      <x:c r="E84" s="19" t="str">
        <x:f>IF(OR(C84="",D84=""),"",C84*D84)</x:f>
      </x:c>
      <x:c r="F84"/>
    </x:row>
    <x:row r="85">
      <x:c r="A85" t="str">
        <x:v>iPhone 16 Pro</x:v>
      </x:c>
      <x:c r="B85" t="str">
        <x:v>Back Cover / Housing</x:v>
      </x:c>
      <x:c r="C85" s="22"/>
      <x:c r="D85" s="18"/>
      <x:c r="E85" s="19" t="str">
        <x:f>IF(OR(C85="",D85=""),"",C85*D85)</x:f>
      </x:c>
      <x:c r="F85"/>
    </x:row>
    <x:row r="86">
      <x:c r="A86" t="str">
        <x:v>iPhone 16 Pro Max</x:v>
      </x:c>
      <x:c r="B86" t="str">
        <x:v>Back Glass</x:v>
      </x:c>
      <x:c r="C86" s="22"/>
      <x:c r="D86" s="18"/>
      <x:c r="E86" s="19" t="str">
        <x:f>IF(OR(C86="",D86=""),"",C86*D86)</x:f>
      </x:c>
      <x:c r="F86"/>
    </x:row>
    <x:row r="87">
      <x:c r="A87" t="str">
        <x:v>iPhone 16 Pro Max</x:v>
      </x:c>
      <x:c r="B87" t="str">
        <x:v>Back Cover / Housing</x:v>
      </x:c>
      <x:c r="C87" s="22"/>
      <x:c r="D87" s="18"/>
      <x:c r="E87" s="19" t="str">
        <x:f>IF(OR(C87="",D87=""),"",C87*D87)</x:f>
      </x:c>
      <x:c r="F87"/>
    </x:row>
    <x:row r="88">
      <x:c r="A88" t="str">
        <x:v>iPhone 16e</x:v>
      </x:c>
      <x:c r="B88" t="str">
        <x:v>Back Glass</x:v>
      </x:c>
      <x:c r="C88" s="22"/>
      <x:c r="D88" s="18"/>
      <x:c r="E88" s="19" t="str">
        <x:f>IF(OR(C88="",D88=""),"",C88*D88)</x:f>
      </x:c>
      <x:c r="F88"/>
    </x:row>
    <x:row r="89">
      <x:c r="A89" t="str">
        <x:v>iPhone 16e</x:v>
      </x:c>
      <x:c r="B89" t="str">
        <x:v>Back Cover / Housing</x:v>
      </x:c>
      <x:c r="C89" s="22"/>
      <x:c r="D89" s="18"/>
      <x:c r="E89" s="19" t="str">
        <x:f>IF(OR(C89="",D89=""),"",C89*D89)</x:f>
      </x:c>
      <x:c r="F89"/>
    </x:row>
    <x:row r="90">
      <x:c r="A90" t="str">
        <x:v>iPhone 17</x:v>
      </x:c>
      <x:c r="B90" t="str">
        <x:v>Back Glass</x:v>
      </x:c>
      <x:c r="C90" s="22"/>
      <x:c r="D90" s="18"/>
      <x:c r="E90" s="19" t="str">
        <x:f>IF(OR(C90="",D90=""),"",C90*D90)</x:f>
      </x:c>
      <x:c r="F90"/>
    </x:row>
    <x:row r="91">
      <x:c r="A91" t="str">
        <x:v>iPhone 17</x:v>
      </x:c>
      <x:c r="B91" t="str">
        <x:v>Back Cover / Housing</x:v>
      </x:c>
      <x:c r="C91" s="22"/>
      <x:c r="D91" s="18"/>
      <x:c r="E91" s="19" t="str">
        <x:f>IF(OR(C91="",D91=""),"",C91*D91)</x:f>
      </x:c>
      <x:c r="F91"/>
    </x:row>
    <x:row r="92">
      <x:c r="A92" t="str">
        <x:v>iPhone 17 Pro</x:v>
      </x:c>
      <x:c r="B92" t="str">
        <x:v>Back Glass</x:v>
      </x:c>
      <x:c r="C92" s="22"/>
      <x:c r="D92" s="18"/>
      <x:c r="E92" s="19" t="str">
        <x:f>IF(OR(C92="",D92=""),"",C92*D92)</x:f>
      </x:c>
      <x:c r="F92"/>
    </x:row>
    <x:row r="93">
      <x:c r="A93" t="str">
        <x:v>iPhone 17 Pro</x:v>
      </x:c>
      <x:c r="B93" t="str">
        <x:v>Back Cover / Housing</x:v>
      </x:c>
      <x:c r="C93" s="22"/>
      <x:c r="D93" s="18"/>
      <x:c r="E93" s="19" t="str">
        <x:f>IF(OR(C93="",D93=""),"",C93*D93)</x:f>
      </x:c>
      <x:c r="F93"/>
    </x:row>
    <x:row r="94">
      <x:c r="A94" t="str">
        <x:v>iPhone 17 Pro Max</x:v>
      </x:c>
      <x:c r="B94" t="str">
        <x:v>Back Glass</x:v>
      </x:c>
      <x:c r="C94" s="22"/>
      <x:c r="D94" s="18"/>
      <x:c r="E94" s="19" t="str">
        <x:f>IF(OR(C94="",D94=""),"",C94*D94)</x:f>
      </x:c>
      <x:c r="F94"/>
    </x:row>
    <x:row r="95">
      <x:c r="A95" t="str">
        <x:v>iPhone 17 Pro Max</x:v>
      </x:c>
      <x:c r="B95" t="str">
        <x:v>Back Cover / Housing</x:v>
      </x:c>
      <x:c r="C95" s="22"/>
      <x:c r="D95" s="18"/>
      <x:c r="E95" s="19" t="str">
        <x:f>IF(OR(C95="",D95=""),"",C95*D95)</x:f>
      </x:c>
      <x:c r="F95"/>
    </x:row>
    <x:row r="96">
      <x:c r="A96" t="str">
        <x:v>iPhone Air</x:v>
      </x:c>
      <x:c r="B96" t="str">
        <x:v>Back Glass</x:v>
      </x:c>
      <x:c r="C96" s="22"/>
      <x:c r="D96" s="18"/>
      <x:c r="E96" s="19" t="str">
        <x:f>IF(OR(C96="",D96=""),"",C96*D96)</x:f>
      </x:c>
      <x:c r="F96"/>
    </x:row>
    <x:row r="97">
      <x:c r="A97" t="str">
        <x:v>iPhone Air</x:v>
      </x:c>
      <x:c r="B97" t="str">
        <x:v>Back Cover / Housing</x:v>
      </x:c>
      <x:c r="C97" s="22"/>
      <x:c r="D97" s="18"/>
      <x:c r="E97" s="19" t="str">
        <x:f>IF(OR(C97="",D97=""),"",C97*D97)</x:f>
      </x:c>
      <x:c r="F97"/>
    </x:row>
    <x:row r="98">
      <x:c r="A98" t="str">
        <x:v>iPhone 17e</x:v>
      </x:c>
      <x:c r="B98" t="str">
        <x:v>Back Glass</x:v>
      </x:c>
      <x:c r="C98" s="22"/>
      <x:c r="D98" s="18"/>
      <x:c r="E98" s="19" t="str">
        <x:f>IF(OR(C98="",D98=""),"",C98*D98)</x:f>
      </x:c>
      <x:c r="F98"/>
    </x:row>
    <x:row r="99">
      <x:c r="A99" t="str">
        <x:v>iPhone 17e</x:v>
      </x:c>
      <x:c r="B99" t="str">
        <x:v>Back Cover / Housing</x:v>
      </x:c>
      <x:c r="C99" s="22"/>
      <x:c r="D99" s="18"/>
      <x:c r="E99" s="19" t="str">
        <x:f>IF(OR(C99="",D99=""),"",C99*D99)</x:f>
      </x:c>
      <x:c r="F99"/>
    </x:row>
    <x:row r="100">
      <x:c r="D100" s="19"/>
      <x:c r="E100" s="19"/>
    </x:row>
    <x:row r="101" ht="30" customHeight="1">
      <x:c r="A101" s="10" t="str">
        <x:v>CATEGORY TOTAL (€)</x:v>
      </x:c>
      <x:c r="B101" s="10"/>
      <x:c r="C101" s="10"/>
      <x:c r="D101" s="25"/>
      <x:c r="E101" s="25" t="n">
        <x:f>SUM(E6:E99)</x:f>
        <x:v>0</x:v>
      </x:c>
      <x:c r="F101" s="10"/>
    </x:row>
  </x:sheetData>
  <x:mergeCells>
    <x:mergeCell ref="A1:F2"/>
    <x:mergeCell ref="A101:D10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29" hidden="0" customWidth="1"/>
    <x:col min="3" max="3" width="12" hidden="0" customWidth="1"/>
    <x:col min="4" max="4" width="20" hidden="0" customWidth="1"/>
    <x:col min="5" max="5" width="20" hidden="0" customWidth="1"/>
    <x:col min="6" max="6" width="33" hidden="0" customWidth="1"/>
  </x:cols>
  <x:sheetData>
    <x:row r="1" ht="25" customHeight="1">
      <x:c r="A1" s="14" t="str">
        <x:v>ZAFA TECH PARIS  |  IPHONE CHARGING</x:v>
      </x:c>
      <x:c r="B1" s="14"/>
      <x:c r="C1" s="14"/>
      <x:c r="D1" s="14"/>
      <x:c r="E1" s="14"/>
      <x:c r="F1" s="14"/>
    </x:row>
    <x:row r="2" ht="25" customHeight="1">
      <x:c r="A2" s="14"/>
      <x:c r="B2" s="14"/>
      <x:c r="C2" s="14"/>
      <x:c r="D2" s="14"/>
      <x:c r="E2" s="14"/>
      <x:c r="F2" s="14"/>
    </x:row>
    <x:row r="3">
      <x:c r="A3" t="str">
        <x:v>Fill in Qty and Unit Price (€). Blue cells are for your inputs.</x:v>
      </x:c>
    </x:row>
    <x:row r="5" ht="28" customHeight="1">
      <x:c r="A5" s="7" t="str">
        <x:v>Model</x:v>
      </x:c>
      <x:c r="B5" s="7" t="str">
        <x:v>Part Type</x:v>
      </x:c>
      <x:c r="C5" s="7" t="str">
        <x:v>Qty</x:v>
      </x:c>
      <x:c r="D5" s="7" t="str">
        <x:v>Unit Price (€)</x:v>
      </x:c>
      <x:c r="E5" s="7" t="str">
        <x:v>Total (€)</x:v>
      </x:c>
      <x:c r="F5" s="7" t="str">
        <x:v>Supplier / Notes</x:v>
      </x:c>
    </x:row>
    <x:row r="6">
      <x:c r="A6" t="str">
        <x:v>iPhone 5</x:v>
      </x:c>
      <x:c r="B6" t="str">
        <x:v>Charging Port / Flex</x:v>
      </x:c>
      <x:c r="C6" s="22"/>
      <x:c r="D6" s="18"/>
      <x:c r="E6" s="19" t="str">
        <x:f>IF(OR(C6="",D6=""),"",C6*D6)</x:f>
      </x:c>
      <x:c r="F6"/>
    </x:row>
    <x:row r="7">
      <x:c r="A7" t="str">
        <x:v>iPhone 5c</x:v>
      </x:c>
      <x:c r="B7" t="str">
        <x:v>Charging Port / Flex</x:v>
      </x:c>
      <x:c r="C7" s="22"/>
      <x:c r="D7" s="18"/>
      <x:c r="E7" s="19" t="str">
        <x:f>IF(OR(C7="",D7=""),"",C7*D7)</x:f>
      </x:c>
      <x:c r="F7"/>
    </x:row>
    <x:row r="8">
      <x:c r="A8" t="str">
        <x:v>iPhone 5s</x:v>
      </x:c>
      <x:c r="B8" t="str">
        <x:v>Charging Port / Flex</x:v>
      </x:c>
      <x:c r="C8" s="22"/>
      <x:c r="D8" s="18"/>
      <x:c r="E8" s="19" t="str">
        <x:f>IF(OR(C8="",D8=""),"",C8*D8)</x:f>
      </x:c>
      <x:c r="F8"/>
    </x:row>
    <x:row r="9">
      <x:c r="A9" t="str">
        <x:v>iPhone SE (2016)</x:v>
      </x:c>
      <x:c r="B9" t="str">
        <x:v>Charging Port / Flex</x:v>
      </x:c>
      <x:c r="C9" s="22"/>
      <x:c r="D9" s="18"/>
      <x:c r="E9" s="19" t="str">
        <x:f>IF(OR(C9="",D9=""),"",C9*D9)</x:f>
      </x:c>
      <x:c r="F9"/>
    </x:row>
    <x:row r="10">
      <x:c r="A10" t="str">
        <x:v>iPhone 6</x:v>
      </x:c>
      <x:c r="B10" t="str">
        <x:v>Charging Port / Flex</x:v>
      </x:c>
      <x:c r="C10" s="22"/>
      <x:c r="D10" s="18"/>
      <x:c r="E10" s="19" t="str">
        <x:f>IF(OR(C10="",D10=""),"",C10*D10)</x:f>
      </x:c>
      <x:c r="F10"/>
    </x:row>
    <x:row r="11">
      <x:c r="A11" t="str">
        <x:v>iPhone 6 Plus</x:v>
      </x:c>
      <x:c r="B11" t="str">
        <x:v>Charging Port / Flex</x:v>
      </x:c>
      <x:c r="C11" s="22"/>
      <x:c r="D11" s="18"/>
      <x:c r="E11" s="19" t="str">
        <x:f>IF(OR(C11="",D11=""),"",C11*D11)</x:f>
      </x:c>
      <x:c r="F11"/>
    </x:row>
    <x:row r="12">
      <x:c r="A12" t="str">
        <x:v>iPhone 6s</x:v>
      </x:c>
      <x:c r="B12" t="str">
        <x:v>Charging Port / Flex</x:v>
      </x:c>
      <x:c r="C12" s="22"/>
      <x:c r="D12" s="18"/>
      <x:c r="E12" s="19" t="str">
        <x:f>IF(OR(C12="",D12=""),"",C12*D12)</x:f>
      </x:c>
      <x:c r="F12"/>
    </x:row>
    <x:row r="13">
      <x:c r="A13" t="str">
        <x:v>iPhone 6s Plus</x:v>
      </x:c>
      <x:c r="B13" t="str">
        <x:v>Charging Port / Flex</x:v>
      </x:c>
      <x:c r="C13" s="22"/>
      <x:c r="D13" s="18"/>
      <x:c r="E13" s="19" t="str">
        <x:f>IF(OR(C13="",D13=""),"",C13*D13)</x:f>
      </x:c>
      <x:c r="F13"/>
    </x:row>
    <x:row r="14">
      <x:c r="A14" t="str">
        <x:v>iPhone 7</x:v>
      </x:c>
      <x:c r="B14" t="str">
        <x:v>Charging Port / Flex</x:v>
      </x:c>
      <x:c r="C14" s="22"/>
      <x:c r="D14" s="18"/>
      <x:c r="E14" s="19" t="str">
        <x:f>IF(OR(C14="",D14=""),"",C14*D14)</x:f>
      </x:c>
      <x:c r="F14"/>
    </x:row>
    <x:row r="15">
      <x:c r="A15" t="str">
        <x:v>iPhone 7 Plus</x:v>
      </x:c>
      <x:c r="B15" t="str">
        <x:v>Charging Port / Flex</x:v>
      </x:c>
      <x:c r="C15" s="22"/>
      <x:c r="D15" s="18"/>
      <x:c r="E15" s="19" t="str">
        <x:f>IF(OR(C15="",D15=""),"",C15*D15)</x:f>
      </x:c>
      <x:c r="F15"/>
    </x:row>
    <x:row r="16">
      <x:c r="A16" t="str">
        <x:v>iPhone 8</x:v>
      </x:c>
      <x:c r="B16" t="str">
        <x:v>Charging Port / Flex</x:v>
      </x:c>
      <x:c r="C16" s="22"/>
      <x:c r="D16" s="18"/>
      <x:c r="E16" s="19" t="str">
        <x:f>IF(OR(C16="",D16=""),"",C16*D16)</x:f>
      </x:c>
      <x:c r="F16"/>
    </x:row>
    <x:row r="17">
      <x:c r="A17" t="str">
        <x:v>iPhone 8 Plus</x:v>
      </x:c>
      <x:c r="B17" t="str">
        <x:v>Charging Port / Flex</x:v>
      </x:c>
      <x:c r="C17" s="22"/>
      <x:c r="D17" s="18"/>
      <x:c r="E17" s="19" t="str">
        <x:f>IF(OR(C17="",D17=""),"",C17*D17)</x:f>
      </x:c>
      <x:c r="F17"/>
    </x:row>
    <x:row r="18">
      <x:c r="A18" t="str">
        <x:v>iPhone X</x:v>
      </x:c>
      <x:c r="B18" t="str">
        <x:v>Charging Port / Flex</x:v>
      </x:c>
      <x:c r="C18" s="22"/>
      <x:c r="D18" s="18"/>
      <x:c r="E18" s="19" t="str">
        <x:f>IF(OR(C18="",D18=""),"",C18*D18)</x:f>
      </x:c>
      <x:c r="F18"/>
    </x:row>
    <x:row r="19">
      <x:c r="A19" t="str">
        <x:v>iPhone XR</x:v>
      </x:c>
      <x:c r="B19" t="str">
        <x:v>Charging Port / Flex</x:v>
      </x:c>
      <x:c r="C19" s="22"/>
      <x:c r="D19" s="18"/>
      <x:c r="E19" s="19" t="str">
        <x:f>IF(OR(C19="",D19=""),"",C19*D19)</x:f>
      </x:c>
      <x:c r="F19"/>
    </x:row>
    <x:row r="20">
      <x:c r="A20" t="str">
        <x:v>iPhone XS</x:v>
      </x:c>
      <x:c r="B20" t="str">
        <x:v>Charging Port / Flex</x:v>
      </x:c>
      <x:c r="C20" s="22"/>
      <x:c r="D20" s="18"/>
      <x:c r="E20" s="19" t="str">
        <x:f>IF(OR(C20="",D20=""),"",C20*D20)</x:f>
      </x:c>
      <x:c r="F20"/>
    </x:row>
    <x:row r="21">
      <x:c r="A21" t="str">
        <x:v>iPhone XS Max</x:v>
      </x:c>
      <x:c r="B21" t="str">
        <x:v>Charging Port / Flex</x:v>
      </x:c>
      <x:c r="C21" s="22"/>
      <x:c r="D21" s="18"/>
      <x:c r="E21" s="19" t="str">
        <x:f>IF(OR(C21="",D21=""),"",C21*D21)</x:f>
      </x:c>
      <x:c r="F21"/>
    </x:row>
    <x:row r="22">
      <x:c r="A22" t="str">
        <x:v>iPhone 11</x:v>
      </x:c>
      <x:c r="B22" t="str">
        <x:v>Charging Port / Flex</x:v>
      </x:c>
      <x:c r="C22" s="22"/>
      <x:c r="D22" s="18"/>
      <x:c r="E22" s="19" t="str">
        <x:f>IF(OR(C22="",D22=""),"",C22*D22)</x:f>
      </x:c>
      <x:c r="F22"/>
    </x:row>
    <x:row r="23">
      <x:c r="A23" t="str">
        <x:v>iPhone 11 Pro</x:v>
      </x:c>
      <x:c r="B23" t="str">
        <x:v>Charging Port / Flex</x:v>
      </x:c>
      <x:c r="C23" s="22"/>
      <x:c r="D23" s="18"/>
      <x:c r="E23" s="19" t="str">
        <x:f>IF(OR(C23="",D23=""),"",C23*D23)</x:f>
      </x:c>
      <x:c r="F23"/>
    </x:row>
    <x:row r="24">
      <x:c r="A24" t="str">
        <x:v>iPhone 11 Pro Max</x:v>
      </x:c>
      <x:c r="B24" t="str">
        <x:v>Charging Port / Flex</x:v>
      </x:c>
      <x:c r="C24" s="22"/>
      <x:c r="D24" s="18"/>
      <x:c r="E24" s="19" t="str">
        <x:f>IF(OR(C24="",D24=""),"",C24*D24)</x:f>
      </x:c>
      <x:c r="F24"/>
    </x:row>
    <x:row r="25">
      <x:c r="A25" t="str">
        <x:v>iPhone SE (2020)</x:v>
      </x:c>
      <x:c r="B25" t="str">
        <x:v>Charging Port / Flex</x:v>
      </x:c>
      <x:c r="C25" s="22"/>
      <x:c r="D25" s="18"/>
      <x:c r="E25" s="19" t="str">
        <x:f>IF(OR(C25="",D25=""),"",C25*D25)</x:f>
      </x:c>
      <x:c r="F25"/>
    </x:row>
    <x:row r="26">
      <x:c r="A26" t="str">
        <x:v>iPhone 12 mini</x:v>
      </x:c>
      <x:c r="B26" t="str">
        <x:v>Charging Port / Flex</x:v>
      </x:c>
      <x:c r="C26" s="22"/>
      <x:c r="D26" s="18"/>
      <x:c r="E26" s="19" t="str">
        <x:f>IF(OR(C26="",D26=""),"",C26*D26)</x:f>
      </x:c>
      <x:c r="F26"/>
    </x:row>
    <x:row r="27">
      <x:c r="A27" t="str">
        <x:v>iPhone 12</x:v>
      </x:c>
      <x:c r="B27" t="str">
        <x:v>Charging Port / Flex</x:v>
      </x:c>
      <x:c r="C27" s="22"/>
      <x:c r="D27" s="18"/>
      <x:c r="E27" s="19" t="str">
        <x:f>IF(OR(C27="",D27=""),"",C27*D27)</x:f>
      </x:c>
      <x:c r="F27"/>
    </x:row>
    <x:row r="28">
      <x:c r="A28" t="str">
        <x:v>iPhone 12 Pro</x:v>
      </x:c>
      <x:c r="B28" t="str">
        <x:v>Charging Port / Flex</x:v>
      </x:c>
      <x:c r="C28" s="22"/>
      <x:c r="D28" s="18"/>
      <x:c r="E28" s="19" t="str">
        <x:f>IF(OR(C28="",D28=""),"",C28*D28)</x:f>
      </x:c>
      <x:c r="F28"/>
    </x:row>
    <x:row r="29">
      <x:c r="A29" t="str">
        <x:v>iPhone 12 Pro Max</x:v>
      </x:c>
      <x:c r="B29" t="str">
        <x:v>Charging Port / Flex</x:v>
      </x:c>
      <x:c r="C29" s="22"/>
      <x:c r="D29" s="18"/>
      <x:c r="E29" s="19" t="str">
        <x:f>IF(OR(C29="",D29=""),"",C29*D29)</x:f>
      </x:c>
      <x:c r="F29"/>
    </x:row>
    <x:row r="30">
      <x:c r="A30" t="str">
        <x:v>iPhone 13 mini</x:v>
      </x:c>
      <x:c r="B30" t="str">
        <x:v>Charging Port / Flex</x:v>
      </x:c>
      <x:c r="C30" s="22"/>
      <x:c r="D30" s="18"/>
      <x:c r="E30" s="19" t="str">
        <x:f>IF(OR(C30="",D30=""),"",C30*D30)</x:f>
      </x:c>
      <x:c r="F30"/>
    </x:row>
    <x:row r="31">
      <x:c r="A31" t="str">
        <x:v>iPhone 13</x:v>
      </x:c>
      <x:c r="B31" t="str">
        <x:v>Charging Port / Flex</x:v>
      </x:c>
      <x:c r="C31" s="22"/>
      <x:c r="D31" s="18"/>
      <x:c r="E31" s="19" t="str">
        <x:f>IF(OR(C31="",D31=""),"",C31*D31)</x:f>
      </x:c>
      <x:c r="F31"/>
    </x:row>
    <x:row r="32">
      <x:c r="A32" t="str">
        <x:v>iPhone 13 Pro</x:v>
      </x:c>
      <x:c r="B32" t="str">
        <x:v>Charging Port / Flex</x:v>
      </x:c>
      <x:c r="C32" s="22"/>
      <x:c r="D32" s="18"/>
      <x:c r="E32" s="19" t="str">
        <x:f>IF(OR(C32="",D32=""),"",C32*D32)</x:f>
      </x:c>
      <x:c r="F32"/>
    </x:row>
    <x:row r="33">
      <x:c r="A33" t="str">
        <x:v>iPhone 13 Pro Max</x:v>
      </x:c>
      <x:c r="B33" t="str">
        <x:v>Charging Port / Flex</x:v>
      </x:c>
      <x:c r="C33" s="22"/>
      <x:c r="D33" s="18"/>
      <x:c r="E33" s="19" t="str">
        <x:f>IF(OR(C33="",D33=""),"",C33*D33)</x:f>
      </x:c>
      <x:c r="F33"/>
    </x:row>
    <x:row r="34">
      <x:c r="A34" t="str">
        <x:v>iPhone SE (2022)</x:v>
      </x:c>
      <x:c r="B34" t="str">
        <x:v>Charging Port / Flex</x:v>
      </x:c>
      <x:c r="C34" s="22"/>
      <x:c r="D34" s="18"/>
      <x:c r="E34" s="19" t="str">
        <x:f>IF(OR(C34="",D34=""),"",C34*D34)</x:f>
      </x:c>
      <x:c r="F34"/>
    </x:row>
    <x:row r="35">
      <x:c r="A35" t="str">
        <x:v>iPhone 14</x:v>
      </x:c>
      <x:c r="B35" t="str">
        <x:v>Charging Port / Flex</x:v>
      </x:c>
      <x:c r="C35" s="22"/>
      <x:c r="D35" s="18"/>
      <x:c r="E35" s="19" t="str">
        <x:f>IF(OR(C35="",D35=""),"",C35*D35)</x:f>
      </x:c>
      <x:c r="F35"/>
    </x:row>
    <x:row r="36">
      <x:c r="A36" t="str">
        <x:v>iPhone 14 Plus</x:v>
      </x:c>
      <x:c r="B36" t="str">
        <x:v>Charging Port / Flex</x:v>
      </x:c>
      <x:c r="C36" s="22"/>
      <x:c r="D36" s="18"/>
      <x:c r="E36" s="19" t="str">
        <x:f>IF(OR(C36="",D36=""),"",C36*D36)</x:f>
      </x:c>
      <x:c r="F36"/>
    </x:row>
    <x:row r="37">
      <x:c r="A37" t="str">
        <x:v>iPhone 14 Pro</x:v>
      </x:c>
      <x:c r="B37" t="str">
        <x:v>Charging Port / Flex</x:v>
      </x:c>
      <x:c r="C37" s="22"/>
      <x:c r="D37" s="18"/>
      <x:c r="E37" s="19" t="str">
        <x:f>IF(OR(C37="",D37=""),"",C37*D37)</x:f>
      </x:c>
      <x:c r="F37"/>
    </x:row>
    <x:row r="38">
      <x:c r="A38" t="str">
        <x:v>iPhone 14 Pro Max</x:v>
      </x:c>
      <x:c r="B38" t="str">
        <x:v>Charging Port / Flex</x:v>
      </x:c>
      <x:c r="C38" s="22"/>
      <x:c r="D38" s="18"/>
      <x:c r="E38" s="19" t="str">
        <x:f>IF(OR(C38="",D38=""),"",C38*D38)</x:f>
      </x:c>
      <x:c r="F38"/>
    </x:row>
    <x:row r="39">
      <x:c r="A39" t="str">
        <x:v>iPhone 15</x:v>
      </x:c>
      <x:c r="B39" t="str">
        <x:v>Charging Port / Flex</x:v>
      </x:c>
      <x:c r="C39" s="22"/>
      <x:c r="D39" s="18"/>
      <x:c r="E39" s="19" t="str">
        <x:f>IF(OR(C39="",D39=""),"",C39*D39)</x:f>
      </x:c>
      <x:c r="F39"/>
    </x:row>
    <x:row r="40">
      <x:c r="A40" t="str">
        <x:v>iPhone 15 Plus</x:v>
      </x:c>
      <x:c r="B40" t="str">
        <x:v>Charging Port / Flex</x:v>
      </x:c>
      <x:c r="C40" s="22"/>
      <x:c r="D40" s="18"/>
      <x:c r="E40" s="19" t="str">
        <x:f>IF(OR(C40="",D40=""),"",C40*D40)</x:f>
      </x:c>
      <x:c r="F40"/>
    </x:row>
    <x:row r="41">
      <x:c r="A41" t="str">
        <x:v>iPhone 15 Pro</x:v>
      </x:c>
      <x:c r="B41" t="str">
        <x:v>Charging Port / Flex</x:v>
      </x:c>
      <x:c r="C41" s="22"/>
      <x:c r="D41" s="18"/>
      <x:c r="E41" s="19" t="str">
        <x:f>IF(OR(C41="",D41=""),"",C41*D41)</x:f>
      </x:c>
      <x:c r="F41"/>
    </x:row>
    <x:row r="42">
      <x:c r="A42" t="str">
        <x:v>iPhone 15 Pro Max</x:v>
      </x:c>
      <x:c r="B42" t="str">
        <x:v>Charging Port / Flex</x:v>
      </x:c>
      <x:c r="C42" s="22"/>
      <x:c r="D42" s="18"/>
      <x:c r="E42" s="19" t="str">
        <x:f>IF(OR(C42="",D42=""),"",C42*D42)</x:f>
      </x:c>
      <x:c r="F42"/>
    </x:row>
    <x:row r="43">
      <x:c r="A43" t="str">
        <x:v>iPhone 16</x:v>
      </x:c>
      <x:c r="B43" t="str">
        <x:v>Charging Port / Flex</x:v>
      </x:c>
      <x:c r="C43" s="22"/>
      <x:c r="D43" s="18"/>
      <x:c r="E43" s="19" t="str">
        <x:f>IF(OR(C43="",D43=""),"",C43*D43)</x:f>
      </x:c>
      <x:c r="F43"/>
    </x:row>
    <x:row r="44">
      <x:c r="A44" t="str">
        <x:v>iPhone 16 Plus</x:v>
      </x:c>
      <x:c r="B44" t="str">
        <x:v>Charging Port / Flex</x:v>
      </x:c>
      <x:c r="C44" s="22"/>
      <x:c r="D44" s="18"/>
      <x:c r="E44" s="19" t="str">
        <x:f>IF(OR(C44="",D44=""),"",C44*D44)</x:f>
      </x:c>
      <x:c r="F44"/>
    </x:row>
    <x:row r="45">
      <x:c r="A45" t="str">
        <x:v>iPhone 16 Pro</x:v>
      </x:c>
      <x:c r="B45" t="str">
        <x:v>Charging Port / Flex</x:v>
      </x:c>
      <x:c r="C45" s="22"/>
      <x:c r="D45" s="18"/>
      <x:c r="E45" s="19" t="str">
        <x:f>IF(OR(C45="",D45=""),"",C45*D45)</x:f>
      </x:c>
      <x:c r="F45"/>
    </x:row>
    <x:row r="46">
      <x:c r="A46" t="str">
        <x:v>iPhone 16 Pro Max</x:v>
      </x:c>
      <x:c r="B46" t="str">
        <x:v>Charging Port / Flex</x:v>
      </x:c>
      <x:c r="C46" s="22"/>
      <x:c r="D46" s="18"/>
      <x:c r="E46" s="19" t="str">
        <x:f>IF(OR(C46="",D46=""),"",C46*D46)</x:f>
      </x:c>
      <x:c r="F46"/>
    </x:row>
    <x:row r="47">
      <x:c r="A47" t="str">
        <x:v>iPhone 16e</x:v>
      </x:c>
      <x:c r="B47" t="str">
        <x:v>Charging Port / Flex</x:v>
      </x:c>
      <x:c r="C47" s="22"/>
      <x:c r="D47" s="18"/>
      <x:c r="E47" s="19" t="str">
        <x:f>IF(OR(C47="",D47=""),"",C47*D47)</x:f>
      </x:c>
      <x:c r="F47"/>
    </x:row>
    <x:row r="48">
      <x:c r="A48" t="str">
        <x:v>iPhone 17</x:v>
      </x:c>
      <x:c r="B48" t="str">
        <x:v>Charging Port / Flex</x:v>
      </x:c>
      <x:c r="C48" s="22"/>
      <x:c r="D48" s="18"/>
      <x:c r="E48" s="19" t="str">
        <x:f>IF(OR(C48="",D48=""),"",C48*D48)</x:f>
      </x:c>
      <x:c r="F48"/>
    </x:row>
    <x:row r="49">
      <x:c r="A49" t="str">
        <x:v>iPhone 17 Pro</x:v>
      </x:c>
      <x:c r="B49" t="str">
        <x:v>Charging Port / Flex</x:v>
      </x:c>
      <x:c r="C49" s="22"/>
      <x:c r="D49" s="18"/>
      <x:c r="E49" s="19" t="str">
        <x:f>IF(OR(C49="",D49=""),"",C49*D49)</x:f>
      </x:c>
      <x:c r="F49"/>
    </x:row>
    <x:row r="50">
      <x:c r="A50" t="str">
        <x:v>iPhone 17 Pro Max</x:v>
      </x:c>
      <x:c r="B50" t="str">
        <x:v>Charging Port / Flex</x:v>
      </x:c>
      <x:c r="C50" s="22"/>
      <x:c r="D50" s="18"/>
      <x:c r="E50" s="19" t="str">
        <x:f>IF(OR(C50="",D50=""),"",C50*D50)</x:f>
      </x:c>
      <x:c r="F50"/>
    </x:row>
    <x:row r="51">
      <x:c r="A51" t="str">
        <x:v>iPhone Air</x:v>
      </x:c>
      <x:c r="B51" t="str">
        <x:v>Charging Port / Flex</x:v>
      </x:c>
      <x:c r="C51" s="22"/>
      <x:c r="D51" s="18"/>
      <x:c r="E51" s="19" t="str">
        <x:f>IF(OR(C51="",D51=""),"",C51*D51)</x:f>
      </x:c>
      <x:c r="F51"/>
    </x:row>
    <x:row r="52">
      <x:c r="A52" t="str">
        <x:v>iPhone 17e</x:v>
      </x:c>
      <x:c r="B52" t="str">
        <x:v>Charging Port / Flex</x:v>
      </x:c>
      <x:c r="C52" s="22"/>
      <x:c r="D52" s="18"/>
      <x:c r="E52" s="19" t="str">
        <x:f>IF(OR(C52="",D52=""),"",C52*D52)</x:f>
      </x:c>
      <x:c r="F52"/>
    </x:row>
    <x:row r="53">
      <x:c r="D53" s="19"/>
      <x:c r="E53" s="19"/>
    </x:row>
    <x:row r="54" ht="30" customHeight="1">
      <x:c r="A54" s="10" t="str">
        <x:v>CATEGORY TOTAL (€)</x:v>
      </x:c>
      <x:c r="B54" s="10"/>
      <x:c r="C54" s="10"/>
      <x:c r="D54" s="25"/>
      <x:c r="E54" s="25" t="n">
        <x:f>SUM(E6:E52)</x:f>
        <x:v>0</x:v>
      </x:c>
      <x:c r="F54" s="10"/>
    </x:row>
  </x:sheetData>
  <x:mergeCells>
    <x:mergeCell ref="A1:F2"/>
    <x:mergeCell ref="A54:D5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29" hidden="0" customWidth="1"/>
    <x:col min="3" max="3" width="12" hidden="0" customWidth="1"/>
    <x:col min="4" max="4" width="20" hidden="0" customWidth="1"/>
    <x:col min="5" max="5" width="20" hidden="0" customWidth="1"/>
    <x:col min="6" max="6" width="33" hidden="0" customWidth="1"/>
  </x:cols>
  <x:sheetData>
    <x:row r="1" ht="25" customHeight="1">
      <x:c r="A1" s="14" t="str">
        <x:v>ZAFA TECH PARIS  |  SAMSUNG LCD</x:v>
      </x:c>
      <x:c r="B1" s="14"/>
      <x:c r="C1" s="14"/>
      <x:c r="D1" s="14"/>
      <x:c r="E1" s="14"/>
      <x:c r="F1" s="14"/>
    </x:row>
    <x:row r="2" ht="25" customHeight="1">
      <x:c r="A2" s="14"/>
      <x:c r="B2" s="14"/>
      <x:c r="C2" s="14"/>
      <x:c r="D2" s="14"/>
      <x:c r="E2" s="14"/>
      <x:c r="F2" s="14"/>
    </x:row>
    <x:row r="3">
      <x:c r="A3" t="str">
        <x:v>Fill in Qty and Unit Price (€). Blue cells are for your inputs.</x:v>
      </x:c>
    </x:row>
    <x:row r="5" ht="28" customHeight="1">
      <x:c r="A5" s="7" t="str">
        <x:v>Model</x:v>
      </x:c>
      <x:c r="B5" s="7" t="str">
        <x:v>Part Type</x:v>
      </x:c>
      <x:c r="C5" s="7" t="str">
        <x:v>Qty</x:v>
      </x:c>
      <x:c r="D5" s="7" t="str">
        <x:v>Unit Price (€)</x:v>
      </x:c>
      <x:c r="E5" s="7" t="str">
        <x:v>Total (€)</x:v>
      </x:c>
      <x:c r="F5" s="7" t="str">
        <x:v>Supplier / Notes</x:v>
      </x:c>
    </x:row>
    <x:row r="6">
      <x:c r="A6" t="str">
        <x:v>Galaxy S8</x:v>
      </x:c>
      <x:c r="B6" t="str">
        <x:v>LCD / Aftermarket</x:v>
      </x:c>
      <x:c r="C6" s="22"/>
      <x:c r="D6" s="18"/>
      <x:c r="E6" s="19" t="str">
        <x:f>IF(OR(C6="",D6=""),"",C6*D6)</x:f>
      </x:c>
      <x:c r="F6"/>
    </x:row>
    <x:row r="7">
      <x:c r="A7" t="str">
        <x:v>Galaxy S8</x:v>
      </x:c>
      <x:c r="B7" t="str">
        <x:v>OLED / Service Pack</x:v>
      </x:c>
      <x:c r="C7" s="22"/>
      <x:c r="D7" s="18"/>
      <x:c r="E7" s="19" t="str">
        <x:f>IF(OR(C7="",D7=""),"",C7*D7)</x:f>
      </x:c>
      <x:c r="F7"/>
    </x:row>
    <x:row r="8">
      <x:c r="A8" t="str">
        <x:v>Galaxy S8+</x:v>
      </x:c>
      <x:c r="B8" t="str">
        <x:v>LCD / Aftermarket</x:v>
      </x:c>
      <x:c r="C8" s="22"/>
      <x:c r="D8" s="18"/>
      <x:c r="E8" s="19" t="str">
        <x:f>IF(OR(C8="",D8=""),"",C8*D8)</x:f>
      </x:c>
      <x:c r="F8"/>
    </x:row>
    <x:row r="9">
      <x:c r="A9" t="str">
        <x:v>Galaxy S8+</x:v>
      </x:c>
      <x:c r="B9" t="str">
        <x:v>OLED / Service Pack</x:v>
      </x:c>
      <x:c r="C9" s="22"/>
      <x:c r="D9" s="18"/>
      <x:c r="E9" s="19" t="str">
        <x:f>IF(OR(C9="",D9=""),"",C9*D9)</x:f>
      </x:c>
      <x:c r="F9"/>
    </x:row>
    <x:row r="10">
      <x:c r="A10" t="str">
        <x:v>Galaxy S9</x:v>
      </x:c>
      <x:c r="B10" t="str">
        <x:v>LCD / Aftermarket</x:v>
      </x:c>
      <x:c r="C10" s="22"/>
      <x:c r="D10" s="18"/>
      <x:c r="E10" s="19" t="str">
        <x:f>IF(OR(C10="",D10=""),"",C10*D10)</x:f>
      </x:c>
      <x:c r="F10"/>
    </x:row>
    <x:row r="11">
      <x:c r="A11" t="str">
        <x:v>Galaxy S9</x:v>
      </x:c>
      <x:c r="B11" t="str">
        <x:v>OLED / Service Pack</x:v>
      </x:c>
      <x:c r="C11" s="22"/>
      <x:c r="D11" s="18"/>
      <x:c r="E11" s="19" t="str">
        <x:f>IF(OR(C11="",D11=""),"",C11*D11)</x:f>
      </x:c>
      <x:c r="F11"/>
    </x:row>
    <x:row r="12">
      <x:c r="A12" t="str">
        <x:v>Galaxy S9+</x:v>
      </x:c>
      <x:c r="B12" t="str">
        <x:v>LCD / Aftermarket</x:v>
      </x:c>
      <x:c r="C12" s="22"/>
      <x:c r="D12" s="18"/>
      <x:c r="E12" s="19" t="str">
        <x:f>IF(OR(C12="",D12=""),"",C12*D12)</x:f>
      </x:c>
      <x:c r="F12"/>
    </x:row>
    <x:row r="13">
      <x:c r="A13" t="str">
        <x:v>Galaxy S9+</x:v>
      </x:c>
      <x:c r="B13" t="str">
        <x:v>OLED / Service Pack</x:v>
      </x:c>
      <x:c r="C13" s="22"/>
      <x:c r="D13" s="18"/>
      <x:c r="E13" s="19" t="str">
        <x:f>IF(OR(C13="",D13=""),"",C13*D13)</x:f>
      </x:c>
      <x:c r="F13"/>
    </x:row>
    <x:row r="14">
      <x:c r="A14" t="str">
        <x:v>Galaxy S10e</x:v>
      </x:c>
      <x:c r="B14" t="str">
        <x:v>LCD / Aftermarket</x:v>
      </x:c>
      <x:c r="C14" s="22"/>
      <x:c r="D14" s="18"/>
      <x:c r="E14" s="19" t="str">
        <x:f>IF(OR(C14="",D14=""),"",C14*D14)</x:f>
      </x:c>
      <x:c r="F14"/>
    </x:row>
    <x:row r="15">
      <x:c r="A15" t="str">
        <x:v>Galaxy S10e</x:v>
      </x:c>
      <x:c r="B15" t="str">
        <x:v>OLED / Service Pack</x:v>
      </x:c>
      <x:c r="C15" s="22"/>
      <x:c r="D15" s="18"/>
      <x:c r="E15" s="19" t="str">
        <x:f>IF(OR(C15="",D15=""),"",C15*D15)</x:f>
      </x:c>
      <x:c r="F15"/>
    </x:row>
    <x:row r="16">
      <x:c r="A16" t="str">
        <x:v>Galaxy S10</x:v>
      </x:c>
      <x:c r="B16" t="str">
        <x:v>LCD / Aftermarket</x:v>
      </x:c>
      <x:c r="C16" s="22"/>
      <x:c r="D16" s="18"/>
      <x:c r="E16" s="19" t="str">
        <x:f>IF(OR(C16="",D16=""),"",C16*D16)</x:f>
      </x:c>
      <x:c r="F16"/>
    </x:row>
    <x:row r="17">
      <x:c r="A17" t="str">
        <x:v>Galaxy S10</x:v>
      </x:c>
      <x:c r="B17" t="str">
        <x:v>OLED / Service Pack</x:v>
      </x:c>
      <x:c r="C17" s="22"/>
      <x:c r="D17" s="18"/>
      <x:c r="E17" s="19" t="str">
        <x:f>IF(OR(C17="",D17=""),"",C17*D17)</x:f>
      </x:c>
      <x:c r="F17"/>
    </x:row>
    <x:row r="18">
      <x:c r="A18" t="str">
        <x:v>Galaxy S10+</x:v>
      </x:c>
      <x:c r="B18" t="str">
        <x:v>LCD / Aftermarket</x:v>
      </x:c>
      <x:c r="C18" s="22"/>
      <x:c r="D18" s="18"/>
      <x:c r="E18" s="19" t="str">
        <x:f>IF(OR(C18="",D18=""),"",C18*D18)</x:f>
      </x:c>
      <x:c r="F18"/>
    </x:row>
    <x:row r="19">
      <x:c r="A19" t="str">
        <x:v>Galaxy S10+</x:v>
      </x:c>
      <x:c r="B19" t="str">
        <x:v>OLED / Service Pack</x:v>
      </x:c>
      <x:c r="C19" s="22"/>
      <x:c r="D19" s="18"/>
      <x:c r="E19" s="19" t="str">
        <x:f>IF(OR(C19="",D19=""),"",C19*D19)</x:f>
      </x:c>
      <x:c r="F19"/>
    </x:row>
    <x:row r="20">
      <x:c r="A20" t="str">
        <x:v>Galaxy S10 5G</x:v>
      </x:c>
      <x:c r="B20" t="str">
        <x:v>LCD / Aftermarket</x:v>
      </x:c>
      <x:c r="C20" s="22"/>
      <x:c r="D20" s="18"/>
      <x:c r="E20" s="19" t="str">
        <x:f>IF(OR(C20="",D20=""),"",C20*D20)</x:f>
      </x:c>
      <x:c r="F20"/>
    </x:row>
    <x:row r="21">
      <x:c r="A21" t="str">
        <x:v>Galaxy S10 5G</x:v>
      </x:c>
      <x:c r="B21" t="str">
        <x:v>OLED / Service Pack</x:v>
      </x:c>
      <x:c r="C21" s="22"/>
      <x:c r="D21" s="18"/>
      <x:c r="E21" s="19" t="str">
        <x:f>IF(OR(C21="",D21=""),"",C21*D21)</x:f>
      </x:c>
      <x:c r="F21"/>
    </x:row>
    <x:row r="22">
      <x:c r="A22" t="str">
        <x:v>Galaxy S20</x:v>
      </x:c>
      <x:c r="B22" t="str">
        <x:v>LCD / Aftermarket</x:v>
      </x:c>
      <x:c r="C22" s="22"/>
      <x:c r="D22" s="18"/>
      <x:c r="E22" s="19" t="str">
        <x:f>IF(OR(C22="",D22=""),"",C22*D22)</x:f>
      </x:c>
      <x:c r="F22"/>
    </x:row>
    <x:row r="23">
      <x:c r="A23" t="str">
        <x:v>Galaxy S20</x:v>
      </x:c>
      <x:c r="B23" t="str">
        <x:v>OLED / Service Pack</x:v>
      </x:c>
      <x:c r="C23" s="22"/>
      <x:c r="D23" s="18"/>
      <x:c r="E23" s="19" t="str">
        <x:f>IF(OR(C23="",D23=""),"",C23*D23)</x:f>
      </x:c>
      <x:c r="F23"/>
    </x:row>
    <x:row r="24">
      <x:c r="A24" t="str">
        <x:v>Galaxy S20+</x:v>
      </x:c>
      <x:c r="B24" t="str">
        <x:v>LCD / Aftermarket</x:v>
      </x:c>
      <x:c r="C24" s="22"/>
      <x:c r="D24" s="18"/>
      <x:c r="E24" s="19" t="str">
        <x:f>IF(OR(C24="",D24=""),"",C24*D24)</x:f>
      </x:c>
      <x:c r="F24"/>
    </x:row>
    <x:row r="25">
      <x:c r="A25" t="str">
        <x:v>Galaxy S20+</x:v>
      </x:c>
      <x:c r="B25" t="str">
        <x:v>OLED / Service Pack</x:v>
      </x:c>
      <x:c r="C25" s="22"/>
      <x:c r="D25" s="18"/>
      <x:c r="E25" s="19" t="str">
        <x:f>IF(OR(C25="",D25=""),"",C25*D25)</x:f>
      </x:c>
      <x:c r="F25"/>
    </x:row>
    <x:row r="26">
      <x:c r="A26" t="str">
        <x:v>Galaxy S20 Ultra</x:v>
      </x:c>
      <x:c r="B26" t="str">
        <x:v>LCD / Aftermarket</x:v>
      </x:c>
      <x:c r="C26" s="22"/>
      <x:c r="D26" s="18"/>
      <x:c r="E26" s="19" t="str">
        <x:f>IF(OR(C26="",D26=""),"",C26*D26)</x:f>
      </x:c>
      <x:c r="F26"/>
    </x:row>
    <x:row r="27">
      <x:c r="A27" t="str">
        <x:v>Galaxy S20 Ultra</x:v>
      </x:c>
      <x:c r="B27" t="str">
        <x:v>OLED / Service Pack</x:v>
      </x:c>
      <x:c r="C27" s="22"/>
      <x:c r="D27" s="18"/>
      <x:c r="E27" s="19" t="str">
        <x:f>IF(OR(C27="",D27=""),"",C27*D27)</x:f>
      </x:c>
      <x:c r="F27"/>
    </x:row>
    <x:row r="28">
      <x:c r="A28" t="str">
        <x:v>Galaxy S20 FE</x:v>
      </x:c>
      <x:c r="B28" t="str">
        <x:v>LCD / Aftermarket</x:v>
      </x:c>
      <x:c r="C28" s="22"/>
      <x:c r="D28" s="18"/>
      <x:c r="E28" s="19" t="str">
        <x:f>IF(OR(C28="",D28=""),"",C28*D28)</x:f>
      </x:c>
      <x:c r="F28"/>
    </x:row>
    <x:row r="29">
      <x:c r="A29" t="str">
        <x:v>Galaxy S20 FE</x:v>
      </x:c>
      <x:c r="B29" t="str">
        <x:v>OLED / Service Pack</x:v>
      </x:c>
      <x:c r="C29" s="22"/>
      <x:c r="D29" s="18"/>
      <x:c r="E29" s="19" t="str">
        <x:f>IF(OR(C29="",D29=""),"",C29*D29)</x:f>
      </x:c>
      <x:c r="F29"/>
    </x:row>
    <x:row r="30">
      <x:c r="A30" t="str">
        <x:v>Galaxy S21</x:v>
      </x:c>
      <x:c r="B30" t="str">
        <x:v>LCD / Aftermarket</x:v>
      </x:c>
      <x:c r="C30" s="22"/>
      <x:c r="D30" s="18"/>
      <x:c r="E30" s="19" t="str">
        <x:f>IF(OR(C30="",D30=""),"",C30*D30)</x:f>
      </x:c>
      <x:c r="F30"/>
    </x:row>
    <x:row r="31">
      <x:c r="A31" t="str">
        <x:v>Galaxy S21</x:v>
      </x:c>
      <x:c r="B31" t="str">
        <x:v>OLED / Service Pack</x:v>
      </x:c>
      <x:c r="C31" s="22"/>
      <x:c r="D31" s="18"/>
      <x:c r="E31" s="19" t="str">
        <x:f>IF(OR(C31="",D31=""),"",C31*D31)</x:f>
      </x:c>
      <x:c r="F31"/>
    </x:row>
    <x:row r="32">
      <x:c r="A32" t="str">
        <x:v>Galaxy S21+</x:v>
      </x:c>
      <x:c r="B32" t="str">
        <x:v>LCD / Aftermarket</x:v>
      </x:c>
      <x:c r="C32" s="22"/>
      <x:c r="D32" s="18"/>
      <x:c r="E32" s="19" t="str">
        <x:f>IF(OR(C32="",D32=""),"",C32*D32)</x:f>
      </x:c>
      <x:c r="F32"/>
    </x:row>
    <x:row r="33">
      <x:c r="A33" t="str">
        <x:v>Galaxy S21+</x:v>
      </x:c>
      <x:c r="B33" t="str">
        <x:v>OLED / Service Pack</x:v>
      </x:c>
      <x:c r="C33" s="22"/>
      <x:c r="D33" s="18"/>
      <x:c r="E33" s="19" t="str">
        <x:f>IF(OR(C33="",D33=""),"",C33*D33)</x:f>
      </x:c>
      <x:c r="F33"/>
    </x:row>
    <x:row r="34">
      <x:c r="A34" t="str">
        <x:v>Galaxy S21 Ultra</x:v>
      </x:c>
      <x:c r="B34" t="str">
        <x:v>LCD / Aftermarket</x:v>
      </x:c>
      <x:c r="C34" s="22"/>
      <x:c r="D34" s="18"/>
      <x:c r="E34" s="19" t="str">
        <x:f>IF(OR(C34="",D34=""),"",C34*D34)</x:f>
      </x:c>
      <x:c r="F34"/>
    </x:row>
    <x:row r="35">
      <x:c r="A35" t="str">
        <x:v>Galaxy S21 Ultra</x:v>
      </x:c>
      <x:c r="B35" t="str">
        <x:v>OLED / Service Pack</x:v>
      </x:c>
      <x:c r="C35" s="22"/>
      <x:c r="D35" s="18"/>
      <x:c r="E35" s="19" t="str">
        <x:f>IF(OR(C35="",D35=""),"",C35*D35)</x:f>
      </x:c>
      <x:c r="F35"/>
    </x:row>
    <x:row r="36">
      <x:c r="A36" t="str">
        <x:v>Galaxy S21 FE</x:v>
      </x:c>
      <x:c r="B36" t="str">
        <x:v>LCD / Aftermarket</x:v>
      </x:c>
      <x:c r="C36" s="22"/>
      <x:c r="D36" s="18"/>
      <x:c r="E36" s="19" t="str">
        <x:f>IF(OR(C36="",D36=""),"",C36*D36)</x:f>
      </x:c>
      <x:c r="F36"/>
    </x:row>
    <x:row r="37">
      <x:c r="A37" t="str">
        <x:v>Galaxy S21 FE</x:v>
      </x:c>
      <x:c r="B37" t="str">
        <x:v>OLED / Service Pack</x:v>
      </x:c>
      <x:c r="C37" s="22"/>
      <x:c r="D37" s="18"/>
      <x:c r="E37" s="19" t="str">
        <x:f>IF(OR(C37="",D37=""),"",C37*D37)</x:f>
      </x:c>
      <x:c r="F37"/>
    </x:row>
    <x:row r="38">
      <x:c r="A38" t="str">
        <x:v>Galaxy S22</x:v>
      </x:c>
      <x:c r="B38" t="str">
        <x:v>LCD / Aftermarket</x:v>
      </x:c>
      <x:c r="C38" s="22"/>
      <x:c r="D38" s="18"/>
      <x:c r="E38" s="19" t="str">
        <x:f>IF(OR(C38="",D38=""),"",C38*D38)</x:f>
      </x:c>
      <x:c r="F38"/>
    </x:row>
    <x:row r="39">
      <x:c r="A39" t="str">
        <x:v>Galaxy S22</x:v>
      </x:c>
      <x:c r="B39" t="str">
        <x:v>OLED / Service Pack</x:v>
      </x:c>
      <x:c r="C39" s="22"/>
      <x:c r="D39" s="18"/>
      <x:c r="E39" s="19" t="str">
        <x:f>IF(OR(C39="",D39=""),"",C39*D39)</x:f>
      </x:c>
      <x:c r="F39"/>
    </x:row>
    <x:row r="40">
      <x:c r="A40" t="str">
        <x:v>Galaxy S22+</x:v>
      </x:c>
      <x:c r="B40" t="str">
        <x:v>LCD / Aftermarket</x:v>
      </x:c>
      <x:c r="C40" s="22"/>
      <x:c r="D40" s="18"/>
      <x:c r="E40" s="19" t="str">
        <x:f>IF(OR(C40="",D40=""),"",C40*D40)</x:f>
      </x:c>
      <x:c r="F40"/>
    </x:row>
    <x:row r="41">
      <x:c r="A41" t="str">
        <x:v>Galaxy S22+</x:v>
      </x:c>
      <x:c r="B41" t="str">
        <x:v>OLED / Service Pack</x:v>
      </x:c>
      <x:c r="C41" s="22"/>
      <x:c r="D41" s="18"/>
      <x:c r="E41" s="19" t="str">
        <x:f>IF(OR(C41="",D41=""),"",C41*D41)</x:f>
      </x:c>
      <x:c r="F41"/>
    </x:row>
    <x:row r="42">
      <x:c r="A42" t="str">
        <x:v>Galaxy S22 Ultra</x:v>
      </x:c>
      <x:c r="B42" t="str">
        <x:v>LCD / Aftermarket</x:v>
      </x:c>
      <x:c r="C42" s="22"/>
      <x:c r="D42" s="18"/>
      <x:c r="E42" s="19" t="str">
        <x:f>IF(OR(C42="",D42=""),"",C42*D42)</x:f>
      </x:c>
      <x:c r="F42"/>
    </x:row>
    <x:row r="43">
      <x:c r="A43" t="str">
        <x:v>Galaxy S22 Ultra</x:v>
      </x:c>
      <x:c r="B43" t="str">
        <x:v>OLED / Service Pack</x:v>
      </x:c>
      <x:c r="C43" s="22"/>
      <x:c r="D43" s="18"/>
      <x:c r="E43" s="19" t="str">
        <x:f>IF(OR(C43="",D43=""),"",C43*D43)</x:f>
      </x:c>
      <x:c r="F43"/>
    </x:row>
    <x:row r="44">
      <x:c r="A44" t="str">
        <x:v>Galaxy S23</x:v>
      </x:c>
      <x:c r="B44" t="str">
        <x:v>LCD / Aftermarket</x:v>
      </x:c>
      <x:c r="C44" s="22"/>
      <x:c r="D44" s="18"/>
      <x:c r="E44" s="19" t="str">
        <x:f>IF(OR(C44="",D44=""),"",C44*D44)</x:f>
      </x:c>
      <x:c r="F44"/>
    </x:row>
    <x:row r="45">
      <x:c r="A45" t="str">
        <x:v>Galaxy S23</x:v>
      </x:c>
      <x:c r="B45" t="str">
        <x:v>OLED / Service Pack</x:v>
      </x:c>
      <x:c r="C45" s="22"/>
      <x:c r="D45" s="18"/>
      <x:c r="E45" s="19" t="str">
        <x:f>IF(OR(C45="",D45=""),"",C45*D45)</x:f>
      </x:c>
      <x:c r="F45"/>
    </x:row>
    <x:row r="46">
      <x:c r="A46" t="str">
        <x:v>Galaxy S23+</x:v>
      </x:c>
      <x:c r="B46" t="str">
        <x:v>LCD / Aftermarket</x:v>
      </x:c>
      <x:c r="C46" s="22"/>
      <x:c r="D46" s="18"/>
      <x:c r="E46" s="19" t="str">
        <x:f>IF(OR(C46="",D46=""),"",C46*D46)</x:f>
      </x:c>
      <x:c r="F46"/>
    </x:row>
    <x:row r="47">
      <x:c r="A47" t="str">
        <x:v>Galaxy S23+</x:v>
      </x:c>
      <x:c r="B47" t="str">
        <x:v>OLED / Service Pack</x:v>
      </x:c>
      <x:c r="C47" s="22"/>
      <x:c r="D47" s="18"/>
      <x:c r="E47" s="19" t="str">
        <x:f>IF(OR(C47="",D47=""),"",C47*D47)</x:f>
      </x:c>
      <x:c r="F47"/>
    </x:row>
    <x:row r="48">
      <x:c r="A48" t="str">
        <x:v>Galaxy S23 Ultra</x:v>
      </x:c>
      <x:c r="B48" t="str">
        <x:v>LCD / Aftermarket</x:v>
      </x:c>
      <x:c r="C48" s="22"/>
      <x:c r="D48" s="18"/>
      <x:c r="E48" s="19" t="str">
        <x:f>IF(OR(C48="",D48=""),"",C48*D48)</x:f>
      </x:c>
      <x:c r="F48"/>
    </x:row>
    <x:row r="49">
      <x:c r="A49" t="str">
        <x:v>Galaxy S23 Ultra</x:v>
      </x:c>
      <x:c r="B49" t="str">
        <x:v>OLED / Service Pack</x:v>
      </x:c>
      <x:c r="C49" s="22"/>
      <x:c r="D49" s="18"/>
      <x:c r="E49" s="19" t="str">
        <x:f>IF(OR(C49="",D49=""),"",C49*D49)</x:f>
      </x:c>
      <x:c r="F49"/>
    </x:row>
    <x:row r="50">
      <x:c r="A50" t="str">
        <x:v>Galaxy S23 FE</x:v>
      </x:c>
      <x:c r="B50" t="str">
        <x:v>LCD / Aftermarket</x:v>
      </x:c>
      <x:c r="C50" s="22"/>
      <x:c r="D50" s="18"/>
      <x:c r="E50" s="19" t="str">
        <x:f>IF(OR(C50="",D50=""),"",C50*D50)</x:f>
      </x:c>
      <x:c r="F50"/>
    </x:row>
    <x:row r="51">
      <x:c r="A51" t="str">
        <x:v>Galaxy S23 FE</x:v>
      </x:c>
      <x:c r="B51" t="str">
        <x:v>OLED / Service Pack</x:v>
      </x:c>
      <x:c r="C51" s="22"/>
      <x:c r="D51" s="18"/>
      <x:c r="E51" s="19" t="str">
        <x:f>IF(OR(C51="",D51=""),"",C51*D51)</x:f>
      </x:c>
      <x:c r="F51"/>
    </x:row>
    <x:row r="52">
      <x:c r="A52" t="str">
        <x:v>Galaxy S24</x:v>
      </x:c>
      <x:c r="B52" t="str">
        <x:v>LCD / Aftermarket</x:v>
      </x:c>
      <x:c r="C52" s="22"/>
      <x:c r="D52" s="18"/>
      <x:c r="E52" s="19" t="str">
        <x:f>IF(OR(C52="",D52=""),"",C52*D52)</x:f>
      </x:c>
      <x:c r="F52"/>
    </x:row>
    <x:row r="53">
      <x:c r="A53" t="str">
        <x:v>Galaxy S24</x:v>
      </x:c>
      <x:c r="B53" t="str">
        <x:v>OLED / Service Pack</x:v>
      </x:c>
      <x:c r="C53" s="22"/>
      <x:c r="D53" s="18"/>
      <x:c r="E53" s="19" t="str">
        <x:f>IF(OR(C53="",D53=""),"",C53*D53)</x:f>
      </x:c>
      <x:c r="F53"/>
    </x:row>
    <x:row r="54">
      <x:c r="A54" t="str">
        <x:v>Galaxy S24+</x:v>
      </x:c>
      <x:c r="B54" t="str">
        <x:v>LCD / Aftermarket</x:v>
      </x:c>
      <x:c r="C54" s="22"/>
      <x:c r="D54" s="18"/>
      <x:c r="E54" s="19" t="str">
        <x:f>IF(OR(C54="",D54=""),"",C54*D54)</x:f>
      </x:c>
      <x:c r="F54"/>
    </x:row>
    <x:row r="55">
      <x:c r="A55" t="str">
        <x:v>Galaxy S24+</x:v>
      </x:c>
      <x:c r="B55" t="str">
        <x:v>OLED / Service Pack</x:v>
      </x:c>
      <x:c r="C55" s="22"/>
      <x:c r="D55" s="18"/>
      <x:c r="E55" s="19" t="str">
        <x:f>IF(OR(C55="",D55=""),"",C55*D55)</x:f>
      </x:c>
      <x:c r="F55"/>
    </x:row>
    <x:row r="56">
      <x:c r="A56" t="str">
        <x:v>Galaxy S24 Ultra</x:v>
      </x:c>
      <x:c r="B56" t="str">
        <x:v>LCD / Aftermarket</x:v>
      </x:c>
      <x:c r="C56" s="22"/>
      <x:c r="D56" s="18"/>
      <x:c r="E56" s="19" t="str">
        <x:f>IF(OR(C56="",D56=""),"",C56*D56)</x:f>
      </x:c>
      <x:c r="F56"/>
    </x:row>
    <x:row r="57">
      <x:c r="A57" t="str">
        <x:v>Galaxy S24 Ultra</x:v>
      </x:c>
      <x:c r="B57" t="str">
        <x:v>OLED / Service Pack</x:v>
      </x:c>
      <x:c r="C57" s="22"/>
      <x:c r="D57" s="18"/>
      <x:c r="E57" s="19" t="str">
        <x:f>IF(OR(C57="",D57=""),"",C57*D57)</x:f>
      </x:c>
      <x:c r="F57"/>
    </x:row>
    <x:row r="58">
      <x:c r="A58" t="str">
        <x:v>Galaxy S24 FE</x:v>
      </x:c>
      <x:c r="B58" t="str">
        <x:v>LCD / Aftermarket</x:v>
      </x:c>
      <x:c r="C58" s="22"/>
      <x:c r="D58" s="18"/>
      <x:c r="E58" s="19" t="str">
        <x:f>IF(OR(C58="",D58=""),"",C58*D58)</x:f>
      </x:c>
      <x:c r="F58"/>
    </x:row>
    <x:row r="59">
      <x:c r="A59" t="str">
        <x:v>Galaxy S24 FE</x:v>
      </x:c>
      <x:c r="B59" t="str">
        <x:v>OLED / Service Pack</x:v>
      </x:c>
      <x:c r="C59" s="22"/>
      <x:c r="D59" s="18"/>
      <x:c r="E59" s="19" t="str">
        <x:f>IF(OR(C59="",D59=""),"",C59*D59)</x:f>
      </x:c>
      <x:c r="F59"/>
    </x:row>
    <x:row r="60">
      <x:c r="A60" t="str">
        <x:v>Galaxy S25</x:v>
      </x:c>
      <x:c r="B60" t="str">
        <x:v>LCD / Aftermarket</x:v>
      </x:c>
      <x:c r="C60" s="22"/>
      <x:c r="D60" s="18"/>
      <x:c r="E60" s="19" t="str">
        <x:f>IF(OR(C60="",D60=""),"",C60*D60)</x:f>
      </x:c>
      <x:c r="F60"/>
    </x:row>
    <x:row r="61">
      <x:c r="A61" t="str">
        <x:v>Galaxy S25</x:v>
      </x:c>
      <x:c r="B61" t="str">
        <x:v>OLED / Service Pack</x:v>
      </x:c>
      <x:c r="C61" s="22"/>
      <x:c r="D61" s="18"/>
      <x:c r="E61" s="19" t="str">
        <x:f>IF(OR(C61="",D61=""),"",C61*D61)</x:f>
      </x:c>
      <x:c r="F61"/>
    </x:row>
    <x:row r="62">
      <x:c r="A62" t="str">
        <x:v>Galaxy S25+</x:v>
      </x:c>
      <x:c r="B62" t="str">
        <x:v>LCD / Aftermarket</x:v>
      </x:c>
      <x:c r="C62" s="22"/>
      <x:c r="D62" s="18"/>
      <x:c r="E62" s="19" t="str">
        <x:f>IF(OR(C62="",D62=""),"",C62*D62)</x:f>
      </x:c>
      <x:c r="F62"/>
    </x:row>
    <x:row r="63">
      <x:c r="A63" t="str">
        <x:v>Galaxy S25+</x:v>
      </x:c>
      <x:c r="B63" t="str">
        <x:v>OLED / Service Pack</x:v>
      </x:c>
      <x:c r="C63" s="22"/>
      <x:c r="D63" s="18"/>
      <x:c r="E63" s="19" t="str">
        <x:f>IF(OR(C63="",D63=""),"",C63*D63)</x:f>
      </x:c>
      <x:c r="F63"/>
    </x:row>
    <x:row r="64">
      <x:c r="A64" t="str">
        <x:v>Galaxy S25 Ultra</x:v>
      </x:c>
      <x:c r="B64" t="str">
        <x:v>LCD / Aftermarket</x:v>
      </x:c>
      <x:c r="C64" s="22"/>
      <x:c r="D64" s="18"/>
      <x:c r="E64" s="19" t="str">
        <x:f>IF(OR(C64="",D64=""),"",C64*D64)</x:f>
      </x:c>
      <x:c r="F64"/>
    </x:row>
    <x:row r="65">
      <x:c r="A65" t="str">
        <x:v>Galaxy S25 Ultra</x:v>
      </x:c>
      <x:c r="B65" t="str">
        <x:v>OLED / Service Pack</x:v>
      </x:c>
      <x:c r="C65" s="22"/>
      <x:c r="D65" s="18"/>
      <x:c r="E65" s="19" t="str">
        <x:f>IF(OR(C65="",D65=""),"",C65*D65)</x:f>
      </x:c>
      <x:c r="F65"/>
    </x:row>
    <x:row r="66">
      <x:c r="A66" t="str">
        <x:v>Galaxy S25 Edge</x:v>
      </x:c>
      <x:c r="B66" t="str">
        <x:v>LCD / Aftermarket</x:v>
      </x:c>
      <x:c r="C66" s="22"/>
      <x:c r="D66" s="18"/>
      <x:c r="E66" s="19" t="str">
        <x:f>IF(OR(C66="",D66=""),"",C66*D66)</x:f>
      </x:c>
      <x:c r="F66"/>
    </x:row>
    <x:row r="67">
      <x:c r="A67" t="str">
        <x:v>Galaxy S25 Edge</x:v>
      </x:c>
      <x:c r="B67" t="str">
        <x:v>OLED / Service Pack</x:v>
      </x:c>
      <x:c r="C67" s="22"/>
      <x:c r="D67" s="18"/>
      <x:c r="E67" s="19" t="str">
        <x:f>IF(OR(C67="",D67=""),"",C67*D67)</x:f>
      </x:c>
      <x:c r="F67"/>
    </x:row>
    <x:row r="68">
      <x:c r="A68" t="str">
        <x:v>Galaxy S25 FE</x:v>
      </x:c>
      <x:c r="B68" t="str">
        <x:v>LCD / Aftermarket</x:v>
      </x:c>
      <x:c r="C68" s="22"/>
      <x:c r="D68" s="18"/>
      <x:c r="E68" s="19" t="str">
        <x:f>IF(OR(C68="",D68=""),"",C68*D68)</x:f>
      </x:c>
      <x:c r="F68"/>
    </x:row>
    <x:row r="69">
      <x:c r="A69" t="str">
        <x:v>Galaxy S25 FE</x:v>
      </x:c>
      <x:c r="B69" t="str">
        <x:v>OLED / Service Pack</x:v>
      </x:c>
      <x:c r="C69" s="22"/>
      <x:c r="D69" s="18"/>
      <x:c r="E69" s="19" t="str">
        <x:f>IF(OR(C69="",D69=""),"",C69*D69)</x:f>
      </x:c>
      <x:c r="F69"/>
    </x:row>
    <x:row r="70">
      <x:c r="A70" t="str">
        <x:v>Galaxy S26</x:v>
      </x:c>
      <x:c r="B70" t="str">
        <x:v>LCD / Aftermarket</x:v>
      </x:c>
      <x:c r="C70" s="22"/>
      <x:c r="D70" s="18"/>
      <x:c r="E70" s="19" t="str">
        <x:f>IF(OR(C70="",D70=""),"",C70*D70)</x:f>
      </x:c>
      <x:c r="F70"/>
    </x:row>
    <x:row r="71">
      <x:c r="A71" t="str">
        <x:v>Galaxy S26</x:v>
      </x:c>
      <x:c r="B71" t="str">
        <x:v>OLED / Service Pack</x:v>
      </x:c>
      <x:c r="C71" s="22"/>
      <x:c r="D71" s="18"/>
      <x:c r="E71" s="19" t="str">
        <x:f>IF(OR(C71="",D71=""),"",C71*D71)</x:f>
      </x:c>
      <x:c r="F71"/>
    </x:row>
    <x:row r="72">
      <x:c r="A72" t="str">
        <x:v>Galaxy S26+</x:v>
      </x:c>
      <x:c r="B72" t="str">
        <x:v>LCD / Aftermarket</x:v>
      </x:c>
      <x:c r="C72" s="22"/>
      <x:c r="D72" s="18"/>
      <x:c r="E72" s="19" t="str">
        <x:f>IF(OR(C72="",D72=""),"",C72*D72)</x:f>
      </x:c>
      <x:c r="F72"/>
    </x:row>
    <x:row r="73">
      <x:c r="A73" t="str">
        <x:v>Galaxy S26+</x:v>
      </x:c>
      <x:c r="B73" t="str">
        <x:v>OLED / Service Pack</x:v>
      </x:c>
      <x:c r="C73" s="22"/>
      <x:c r="D73" s="18"/>
      <x:c r="E73" s="19" t="str">
        <x:f>IF(OR(C73="",D73=""),"",C73*D73)</x:f>
      </x:c>
      <x:c r="F73"/>
    </x:row>
    <x:row r="74">
      <x:c r="A74" t="str">
        <x:v>Galaxy S26 Ultra</x:v>
      </x:c>
      <x:c r="B74" t="str">
        <x:v>LCD / Aftermarket</x:v>
      </x:c>
      <x:c r="C74" s="22"/>
      <x:c r="D74" s="18"/>
      <x:c r="E74" s="19" t="str">
        <x:f>IF(OR(C74="",D74=""),"",C74*D74)</x:f>
      </x:c>
      <x:c r="F74"/>
    </x:row>
    <x:row r="75">
      <x:c r="A75" t="str">
        <x:v>Galaxy S26 Ultra</x:v>
      </x:c>
      <x:c r="B75" t="str">
        <x:v>OLED / Service Pack</x:v>
      </x:c>
      <x:c r="C75" s="22"/>
      <x:c r="D75" s="18"/>
      <x:c r="E75" s="19" t="str">
        <x:f>IF(OR(C75="",D75=""),"",C75*D75)</x:f>
      </x:c>
      <x:c r="F75"/>
    </x:row>
    <x:row r="76">
      <x:c r="A76" t="str">
        <x:v>Galaxy Note 8</x:v>
      </x:c>
      <x:c r="B76" t="str">
        <x:v>LCD / Aftermarket</x:v>
      </x:c>
      <x:c r="C76" s="22"/>
      <x:c r="D76" s="18"/>
      <x:c r="E76" s="19" t="str">
        <x:f>IF(OR(C76="",D76=""),"",C76*D76)</x:f>
      </x:c>
      <x:c r="F76"/>
    </x:row>
    <x:row r="77">
      <x:c r="A77" t="str">
        <x:v>Galaxy Note 8</x:v>
      </x:c>
      <x:c r="B77" t="str">
        <x:v>OLED / Service Pack</x:v>
      </x:c>
      <x:c r="C77" s="22"/>
      <x:c r="D77" s="18"/>
      <x:c r="E77" s="19" t="str">
        <x:f>IF(OR(C77="",D77=""),"",C77*D77)</x:f>
      </x:c>
      <x:c r="F77"/>
    </x:row>
    <x:row r="78">
      <x:c r="A78" t="str">
        <x:v>Galaxy Note 9</x:v>
      </x:c>
      <x:c r="B78" t="str">
        <x:v>LCD / Aftermarket</x:v>
      </x:c>
      <x:c r="C78" s="22"/>
      <x:c r="D78" s="18"/>
      <x:c r="E78" s="19" t="str">
        <x:f>IF(OR(C78="",D78=""),"",C78*D78)</x:f>
      </x:c>
      <x:c r="F78"/>
    </x:row>
    <x:row r="79">
      <x:c r="A79" t="str">
        <x:v>Galaxy Note 9</x:v>
      </x:c>
      <x:c r="B79" t="str">
        <x:v>OLED / Service Pack</x:v>
      </x:c>
      <x:c r="C79" s="22"/>
      <x:c r="D79" s="18"/>
      <x:c r="E79" s="19" t="str">
        <x:f>IF(OR(C79="",D79=""),"",C79*D79)</x:f>
      </x:c>
      <x:c r="F79"/>
    </x:row>
    <x:row r="80">
      <x:c r="A80" t="str">
        <x:v>Galaxy Note 10</x:v>
      </x:c>
      <x:c r="B80" t="str">
        <x:v>LCD / Aftermarket</x:v>
      </x:c>
      <x:c r="C80" s="22"/>
      <x:c r="D80" s="18"/>
      <x:c r="E80" s="19" t="str">
        <x:f>IF(OR(C80="",D80=""),"",C80*D80)</x:f>
      </x:c>
      <x:c r="F80"/>
    </x:row>
    <x:row r="81">
      <x:c r="A81" t="str">
        <x:v>Galaxy Note 10</x:v>
      </x:c>
      <x:c r="B81" t="str">
        <x:v>OLED / Service Pack</x:v>
      </x:c>
      <x:c r="C81" s="22"/>
      <x:c r="D81" s="18"/>
      <x:c r="E81" s="19" t="str">
        <x:f>IF(OR(C81="",D81=""),"",C81*D81)</x:f>
      </x:c>
      <x:c r="F81"/>
    </x:row>
    <x:row r="82">
      <x:c r="A82" t="str">
        <x:v>Galaxy Note 10+</x:v>
      </x:c>
      <x:c r="B82" t="str">
        <x:v>LCD / Aftermarket</x:v>
      </x:c>
      <x:c r="C82" s="22"/>
      <x:c r="D82" s="18"/>
      <x:c r="E82" s="19" t="str">
        <x:f>IF(OR(C82="",D82=""),"",C82*D82)</x:f>
      </x:c>
      <x:c r="F82"/>
    </x:row>
    <x:row r="83">
      <x:c r="A83" t="str">
        <x:v>Galaxy Note 10+</x:v>
      </x:c>
      <x:c r="B83" t="str">
        <x:v>OLED / Service Pack</x:v>
      </x:c>
      <x:c r="C83" s="22"/>
      <x:c r="D83" s="18"/>
      <x:c r="E83" s="19" t="str">
        <x:f>IF(OR(C83="",D83=""),"",C83*D83)</x:f>
      </x:c>
      <x:c r="F83"/>
    </x:row>
    <x:row r="84">
      <x:c r="A84" t="str">
        <x:v>Galaxy Note 20</x:v>
      </x:c>
      <x:c r="B84" t="str">
        <x:v>LCD / Aftermarket</x:v>
      </x:c>
      <x:c r="C84" s="22"/>
      <x:c r="D84" s="18"/>
      <x:c r="E84" s="19" t="str">
        <x:f>IF(OR(C84="",D84=""),"",C84*D84)</x:f>
      </x:c>
      <x:c r="F84"/>
    </x:row>
    <x:row r="85">
      <x:c r="A85" t="str">
        <x:v>Galaxy Note 20</x:v>
      </x:c>
      <x:c r="B85" t="str">
        <x:v>OLED / Service Pack</x:v>
      </x:c>
      <x:c r="C85" s="22"/>
      <x:c r="D85" s="18"/>
      <x:c r="E85" s="19" t="str">
        <x:f>IF(OR(C85="",D85=""),"",C85*D85)</x:f>
      </x:c>
      <x:c r="F85"/>
    </x:row>
    <x:row r="86">
      <x:c r="A86" t="str">
        <x:v>Galaxy Note 20 Ultra</x:v>
      </x:c>
      <x:c r="B86" t="str">
        <x:v>LCD / Aftermarket</x:v>
      </x:c>
      <x:c r="C86" s="22"/>
      <x:c r="D86" s="18"/>
      <x:c r="E86" s="19" t="str">
        <x:f>IF(OR(C86="",D86=""),"",C86*D86)</x:f>
      </x:c>
      <x:c r="F86"/>
    </x:row>
    <x:row r="87">
      <x:c r="A87" t="str">
        <x:v>Galaxy Note 20 Ultra</x:v>
      </x:c>
      <x:c r="B87" t="str">
        <x:v>OLED / Service Pack</x:v>
      </x:c>
      <x:c r="C87" s="22"/>
      <x:c r="D87" s="18"/>
      <x:c r="E87" s="19" t="str">
        <x:f>IF(OR(C87="",D87=""),"",C87*D87)</x:f>
      </x:c>
      <x:c r="F87"/>
    </x:row>
    <x:row r="88">
      <x:c r="A88" t="str">
        <x:v>Galaxy A10</x:v>
      </x:c>
      <x:c r="B88" t="str">
        <x:v>LCD / Aftermarket</x:v>
      </x:c>
      <x:c r="C88" s="22"/>
      <x:c r="D88" s="18"/>
      <x:c r="E88" s="19" t="str">
        <x:f>IF(OR(C88="",D88=""),"",C88*D88)</x:f>
      </x:c>
      <x:c r="F88"/>
    </x:row>
    <x:row r="89">
      <x:c r="A89" t="str">
        <x:v>Galaxy A10</x:v>
      </x:c>
      <x:c r="B89" t="str">
        <x:v>OLED / Service Pack</x:v>
      </x:c>
      <x:c r="C89" s="22"/>
      <x:c r="D89" s="18"/>
      <x:c r="E89" s="19" t="str">
        <x:f>IF(OR(C89="",D89=""),"",C89*D89)</x:f>
      </x:c>
      <x:c r="F89"/>
    </x:row>
    <x:row r="90">
      <x:c r="A90" t="str">
        <x:v>Galaxy A10s</x:v>
      </x:c>
      <x:c r="B90" t="str">
        <x:v>LCD / Aftermarket</x:v>
      </x:c>
      <x:c r="C90" s="22"/>
      <x:c r="D90" s="18"/>
      <x:c r="E90" s="19" t="str">
        <x:f>IF(OR(C90="",D90=""),"",C90*D90)</x:f>
      </x:c>
      <x:c r="F90"/>
    </x:row>
    <x:row r="91">
      <x:c r="A91" t="str">
        <x:v>Galaxy A10s</x:v>
      </x:c>
      <x:c r="B91" t="str">
        <x:v>OLED / Service Pack</x:v>
      </x:c>
      <x:c r="C91" s="22"/>
      <x:c r="D91" s="18"/>
      <x:c r="E91" s="19" t="str">
        <x:f>IF(OR(C91="",D91=""),"",C91*D91)</x:f>
      </x:c>
      <x:c r="F91"/>
    </x:row>
    <x:row r="92">
      <x:c r="A92" t="str">
        <x:v>Galaxy A11</x:v>
      </x:c>
      <x:c r="B92" t="str">
        <x:v>LCD / Aftermarket</x:v>
      </x:c>
      <x:c r="C92" s="22"/>
      <x:c r="D92" s="18"/>
      <x:c r="E92" s="19" t="str">
        <x:f>IF(OR(C92="",D92=""),"",C92*D92)</x:f>
      </x:c>
      <x:c r="F92"/>
    </x:row>
    <x:row r="93">
      <x:c r="A93" t="str">
        <x:v>Galaxy A11</x:v>
      </x:c>
      <x:c r="B93" t="str">
        <x:v>OLED / Service Pack</x:v>
      </x:c>
      <x:c r="C93" s="22"/>
      <x:c r="D93" s="18"/>
      <x:c r="E93" s="19" t="str">
        <x:f>IF(OR(C93="",D93=""),"",C93*D93)</x:f>
      </x:c>
      <x:c r="F93"/>
    </x:row>
    <x:row r="94">
      <x:c r="A94" t="str">
        <x:v>Galaxy A12</x:v>
      </x:c>
      <x:c r="B94" t="str">
        <x:v>LCD / Aftermarket</x:v>
      </x:c>
      <x:c r="C94" s="22"/>
      <x:c r="D94" s="18"/>
      <x:c r="E94" s="19" t="str">
        <x:f>IF(OR(C94="",D94=""),"",C94*D94)</x:f>
      </x:c>
      <x:c r="F94"/>
    </x:row>
    <x:row r="95">
      <x:c r="A95" t="str">
        <x:v>Galaxy A12</x:v>
      </x:c>
      <x:c r="B95" t="str">
        <x:v>OLED / Service Pack</x:v>
      </x:c>
      <x:c r="C95" s="22"/>
      <x:c r="D95" s="18"/>
      <x:c r="E95" s="19" t="str">
        <x:f>IF(OR(C95="",D95=""),"",C95*D95)</x:f>
      </x:c>
      <x:c r="F95"/>
    </x:row>
    <x:row r="96">
      <x:c r="A96" t="str">
        <x:v>Galaxy A13</x:v>
      </x:c>
      <x:c r="B96" t="str">
        <x:v>LCD / Aftermarket</x:v>
      </x:c>
      <x:c r="C96" s="22"/>
      <x:c r="D96" s="18"/>
      <x:c r="E96" s="19" t="str">
        <x:f>IF(OR(C96="",D96=""),"",C96*D96)</x:f>
      </x:c>
      <x:c r="F96"/>
    </x:row>
    <x:row r="97">
      <x:c r="A97" t="str">
        <x:v>Galaxy A13</x:v>
      </x:c>
      <x:c r="B97" t="str">
        <x:v>OLED / Service Pack</x:v>
      </x:c>
      <x:c r="C97" s="22"/>
      <x:c r="D97" s="18"/>
      <x:c r="E97" s="19" t="str">
        <x:f>IF(OR(C97="",D97=""),"",C97*D97)</x:f>
      </x:c>
      <x:c r="F97"/>
    </x:row>
    <x:row r="98">
      <x:c r="A98" t="str">
        <x:v>Galaxy A14</x:v>
      </x:c>
      <x:c r="B98" t="str">
        <x:v>LCD / Aftermarket</x:v>
      </x:c>
      <x:c r="C98" s="22"/>
      <x:c r="D98" s="18"/>
      <x:c r="E98" s="19" t="str">
        <x:f>IF(OR(C98="",D98=""),"",C98*D98)</x:f>
      </x:c>
      <x:c r="F98"/>
    </x:row>
    <x:row r="99">
      <x:c r="A99" t="str">
        <x:v>Galaxy A14</x:v>
      </x:c>
      <x:c r="B99" t="str">
        <x:v>OLED / Service Pack</x:v>
      </x:c>
      <x:c r="C99" s="22"/>
      <x:c r="D99" s="18"/>
      <x:c r="E99" s="19" t="str">
        <x:f>IF(OR(C99="",D99=""),"",C99*D99)</x:f>
      </x:c>
      <x:c r="F99"/>
    </x:row>
    <x:row r="100">
      <x:c r="A100" t="str">
        <x:v>Galaxy A15</x:v>
      </x:c>
      <x:c r="B100" t="str">
        <x:v>LCD / Aftermarket</x:v>
      </x:c>
      <x:c r="C100" s="22"/>
      <x:c r="D100" s="18"/>
      <x:c r="E100" s="19" t="str">
        <x:f>IF(OR(C100="",D100=""),"",C100*D100)</x:f>
      </x:c>
      <x:c r="F100"/>
    </x:row>
    <x:row r="101">
      <x:c r="A101" t="str">
        <x:v>Galaxy A15</x:v>
      </x:c>
      <x:c r="B101" t="str">
        <x:v>OLED / Service Pack</x:v>
      </x:c>
      <x:c r="C101" s="22"/>
      <x:c r="D101" s="18"/>
      <x:c r="E101" s="19" t="str">
        <x:f>IF(OR(C101="",D101=""),"",C101*D101)</x:f>
      </x:c>
      <x:c r="F101"/>
    </x:row>
    <x:row r="102">
      <x:c r="A102" t="str">
        <x:v>Galaxy A16</x:v>
      </x:c>
      <x:c r="B102" t="str">
        <x:v>LCD / Aftermarket</x:v>
      </x:c>
      <x:c r="C102" s="22"/>
      <x:c r="D102" s="18"/>
      <x:c r="E102" s="19" t="str">
        <x:f>IF(OR(C102="",D102=""),"",C102*D102)</x:f>
      </x:c>
      <x:c r="F102"/>
    </x:row>
    <x:row r="103">
      <x:c r="A103" t="str">
        <x:v>Galaxy A16</x:v>
      </x:c>
      <x:c r="B103" t="str">
        <x:v>OLED / Service Pack</x:v>
      </x:c>
      <x:c r="C103" s="22"/>
      <x:c r="D103" s="18"/>
      <x:c r="E103" s="19" t="str">
        <x:f>IF(OR(C103="",D103=""),"",C103*D103)</x:f>
      </x:c>
      <x:c r="F103"/>
    </x:row>
    <x:row r="104">
      <x:c r="A104" t="str">
        <x:v>Galaxy A17</x:v>
      </x:c>
      <x:c r="B104" t="str">
        <x:v>LCD / Aftermarket</x:v>
      </x:c>
      <x:c r="C104" s="22"/>
      <x:c r="D104" s="18"/>
      <x:c r="E104" s="19" t="str">
        <x:f>IF(OR(C104="",D104=""),"",C104*D104)</x:f>
      </x:c>
      <x:c r="F104"/>
    </x:row>
    <x:row r="105">
      <x:c r="A105" t="str">
        <x:v>Galaxy A17</x:v>
      </x:c>
      <x:c r="B105" t="str">
        <x:v>OLED / Service Pack</x:v>
      </x:c>
      <x:c r="C105" s="22"/>
      <x:c r="D105" s="18"/>
      <x:c r="E105" s="19" t="str">
        <x:f>IF(OR(C105="",D105=""),"",C105*D105)</x:f>
      </x:c>
      <x:c r="F105"/>
    </x:row>
    <x:row r="106">
      <x:c r="A106" t="str">
        <x:v>Galaxy A20</x:v>
      </x:c>
      <x:c r="B106" t="str">
        <x:v>LCD / Aftermarket</x:v>
      </x:c>
      <x:c r="C106" s="22"/>
      <x:c r="D106" s="18"/>
      <x:c r="E106" s="19" t="str">
        <x:f>IF(OR(C106="",D106=""),"",C106*D106)</x:f>
      </x:c>
      <x:c r="F106"/>
    </x:row>
    <x:row r="107">
      <x:c r="A107" t="str">
        <x:v>Galaxy A20</x:v>
      </x:c>
      <x:c r="B107" t="str">
        <x:v>OLED / Service Pack</x:v>
      </x:c>
      <x:c r="C107" s="22"/>
      <x:c r="D107" s="18"/>
      <x:c r="E107" s="19" t="str">
        <x:f>IF(OR(C107="",D107=""),"",C107*D107)</x:f>
      </x:c>
      <x:c r="F107"/>
    </x:row>
    <x:row r="108">
      <x:c r="A108" t="str">
        <x:v>Galaxy A20e</x:v>
      </x:c>
      <x:c r="B108" t="str">
        <x:v>LCD / Aftermarket</x:v>
      </x:c>
      <x:c r="C108" s="22"/>
      <x:c r="D108" s="18"/>
      <x:c r="E108" s="19" t="str">
        <x:f>IF(OR(C108="",D108=""),"",C108*D108)</x:f>
      </x:c>
      <x:c r="F108"/>
    </x:row>
    <x:row r="109">
      <x:c r="A109" t="str">
        <x:v>Galaxy A20e</x:v>
      </x:c>
      <x:c r="B109" t="str">
        <x:v>OLED / Service Pack</x:v>
      </x:c>
      <x:c r="C109" s="22"/>
      <x:c r="D109" s="18"/>
      <x:c r="E109" s="19" t="str">
        <x:f>IF(OR(C109="",D109=""),"",C109*D109)</x:f>
      </x:c>
      <x:c r="F109"/>
    </x:row>
    <x:row r="110">
      <x:c r="A110" t="str">
        <x:v>Galaxy A21s</x:v>
      </x:c>
      <x:c r="B110" t="str">
        <x:v>LCD / Aftermarket</x:v>
      </x:c>
      <x:c r="C110" s="22"/>
      <x:c r="D110" s="18"/>
      <x:c r="E110" s="19" t="str">
        <x:f>IF(OR(C110="",D110=""),"",C110*D110)</x:f>
      </x:c>
      <x:c r="F110"/>
    </x:row>
    <x:row r="111">
      <x:c r="A111" t="str">
        <x:v>Galaxy A21s</x:v>
      </x:c>
      <x:c r="B111" t="str">
        <x:v>OLED / Service Pack</x:v>
      </x:c>
      <x:c r="C111" s="22"/>
      <x:c r="D111" s="18"/>
      <x:c r="E111" s="19" t="str">
        <x:f>IF(OR(C111="",D111=""),"",C111*D111)</x:f>
      </x:c>
      <x:c r="F111"/>
    </x:row>
    <x:row r="112">
      <x:c r="A112" t="str">
        <x:v>Galaxy A22</x:v>
      </x:c>
      <x:c r="B112" t="str">
        <x:v>LCD / Aftermarket</x:v>
      </x:c>
      <x:c r="C112" s="22"/>
      <x:c r="D112" s="18"/>
      <x:c r="E112" s="19" t="str">
        <x:f>IF(OR(C112="",D112=""),"",C112*D112)</x:f>
      </x:c>
      <x:c r="F112"/>
    </x:row>
    <x:row r="113">
      <x:c r="A113" t="str">
        <x:v>Galaxy A22</x:v>
      </x:c>
      <x:c r="B113" t="str">
        <x:v>OLED / Service Pack</x:v>
      </x:c>
      <x:c r="C113" s="22"/>
      <x:c r="D113" s="18"/>
      <x:c r="E113" s="19" t="str">
        <x:f>IF(OR(C113="",D113=""),"",C113*D113)</x:f>
      </x:c>
      <x:c r="F113"/>
    </x:row>
    <x:row r="114">
      <x:c r="A114" t="str">
        <x:v>Galaxy A23</x:v>
      </x:c>
      <x:c r="B114" t="str">
        <x:v>LCD / Aftermarket</x:v>
      </x:c>
      <x:c r="C114" s="22"/>
      <x:c r="D114" s="18"/>
      <x:c r="E114" s="19" t="str">
        <x:f>IF(OR(C114="",D114=""),"",C114*D114)</x:f>
      </x:c>
      <x:c r="F114"/>
    </x:row>
    <x:row r="115">
      <x:c r="A115" t="str">
        <x:v>Galaxy A23</x:v>
      </x:c>
      <x:c r="B115" t="str">
        <x:v>OLED / Service Pack</x:v>
      </x:c>
      <x:c r="C115" s="22"/>
      <x:c r="D115" s="18"/>
      <x:c r="E115" s="19" t="str">
        <x:f>IF(OR(C115="",D115=""),"",C115*D115)</x:f>
      </x:c>
      <x:c r="F115"/>
    </x:row>
    <x:row r="116">
      <x:c r="A116" t="str">
        <x:v>Galaxy A24</x:v>
      </x:c>
      <x:c r="B116" t="str">
        <x:v>LCD / Aftermarket</x:v>
      </x:c>
      <x:c r="C116" s="22"/>
      <x:c r="D116" s="18"/>
      <x:c r="E116" s="19" t="str">
        <x:f>IF(OR(C116="",D116=""),"",C116*D116)</x:f>
      </x:c>
      <x:c r="F116"/>
    </x:row>
    <x:row r="117">
      <x:c r="A117" t="str">
        <x:v>Galaxy A24</x:v>
      </x:c>
      <x:c r="B117" t="str">
        <x:v>OLED / Service Pack</x:v>
      </x:c>
      <x:c r="C117" s="22"/>
      <x:c r="D117" s="18"/>
      <x:c r="E117" s="19" t="str">
        <x:f>IF(OR(C117="",D117=""),"",C117*D117)</x:f>
      </x:c>
      <x:c r="F117"/>
    </x:row>
    <x:row r="118">
      <x:c r="A118" t="str">
        <x:v>Galaxy A25</x:v>
      </x:c>
      <x:c r="B118" t="str">
        <x:v>LCD / Aftermarket</x:v>
      </x:c>
      <x:c r="C118" s="22"/>
      <x:c r="D118" s="18"/>
      <x:c r="E118" s="19" t="str">
        <x:f>IF(OR(C118="",D118=""),"",C118*D118)</x:f>
      </x:c>
      <x:c r="F118"/>
    </x:row>
    <x:row r="119">
      <x:c r="A119" t="str">
        <x:v>Galaxy A25</x:v>
      </x:c>
      <x:c r="B119" t="str">
        <x:v>OLED / Service Pack</x:v>
      </x:c>
      <x:c r="C119" s="22"/>
      <x:c r="D119" s="18"/>
      <x:c r="E119" s="19" t="str">
        <x:f>IF(OR(C119="",D119=""),"",C119*D119)</x:f>
      </x:c>
      <x:c r="F119"/>
    </x:row>
    <x:row r="120">
      <x:c r="A120" t="str">
        <x:v>Galaxy A26</x:v>
      </x:c>
      <x:c r="B120" t="str">
        <x:v>LCD / Aftermarket</x:v>
      </x:c>
      <x:c r="C120" s="22"/>
      <x:c r="D120" s="18"/>
      <x:c r="E120" s="19" t="str">
        <x:f>IF(OR(C120="",D120=""),"",C120*D120)</x:f>
      </x:c>
      <x:c r="F120"/>
    </x:row>
    <x:row r="121">
      <x:c r="A121" t="str">
        <x:v>Galaxy A26</x:v>
      </x:c>
      <x:c r="B121" t="str">
        <x:v>OLED / Service Pack</x:v>
      </x:c>
      <x:c r="C121" s="22"/>
      <x:c r="D121" s="18"/>
      <x:c r="E121" s="19" t="str">
        <x:f>IF(OR(C121="",D121=""),"",C121*D121)</x:f>
      </x:c>
      <x:c r="F121"/>
    </x:row>
    <x:row r="122">
      <x:c r="A122" t="str">
        <x:v>Galaxy A30</x:v>
      </x:c>
      <x:c r="B122" t="str">
        <x:v>LCD / Aftermarket</x:v>
      </x:c>
      <x:c r="C122" s="22"/>
      <x:c r="D122" s="18"/>
      <x:c r="E122" s="19" t="str">
        <x:f>IF(OR(C122="",D122=""),"",C122*D122)</x:f>
      </x:c>
      <x:c r="F122"/>
    </x:row>
    <x:row r="123">
      <x:c r="A123" t="str">
        <x:v>Galaxy A30</x:v>
      </x:c>
      <x:c r="B123" t="str">
        <x:v>OLED / Service Pack</x:v>
      </x:c>
      <x:c r="C123" s="22"/>
      <x:c r="D123" s="18"/>
      <x:c r="E123" s="19" t="str">
        <x:f>IF(OR(C123="",D123=""),"",C123*D123)</x:f>
      </x:c>
      <x:c r="F123"/>
    </x:row>
    <x:row r="124">
      <x:c r="A124" t="str">
        <x:v>Galaxy A30s</x:v>
      </x:c>
      <x:c r="B124" t="str">
        <x:v>LCD / Aftermarket</x:v>
      </x:c>
      <x:c r="C124" s="22"/>
      <x:c r="D124" s="18"/>
      <x:c r="E124" s="19" t="str">
        <x:f>IF(OR(C124="",D124=""),"",C124*D124)</x:f>
      </x:c>
      <x:c r="F124"/>
    </x:row>
    <x:row r="125">
      <x:c r="A125" t="str">
        <x:v>Galaxy A30s</x:v>
      </x:c>
      <x:c r="B125" t="str">
        <x:v>OLED / Service Pack</x:v>
      </x:c>
      <x:c r="C125" s="22"/>
      <x:c r="D125" s="18"/>
      <x:c r="E125" s="19" t="str">
        <x:f>IF(OR(C125="",D125=""),"",C125*D125)</x:f>
      </x:c>
      <x:c r="F125"/>
    </x:row>
    <x:row r="126">
      <x:c r="A126" t="str">
        <x:v>Galaxy A31</x:v>
      </x:c>
      <x:c r="B126" t="str">
        <x:v>LCD / Aftermarket</x:v>
      </x:c>
      <x:c r="C126" s="22"/>
      <x:c r="D126" s="18"/>
      <x:c r="E126" s="19" t="str">
        <x:f>IF(OR(C126="",D126=""),"",C126*D126)</x:f>
      </x:c>
      <x:c r="F126"/>
    </x:row>
    <x:row r="127">
      <x:c r="A127" t="str">
        <x:v>Galaxy A31</x:v>
      </x:c>
      <x:c r="B127" t="str">
        <x:v>OLED / Service Pack</x:v>
      </x:c>
      <x:c r="C127" s="22"/>
      <x:c r="D127" s="18"/>
      <x:c r="E127" s="19" t="str">
        <x:f>IF(OR(C127="",D127=""),"",C127*D127)</x:f>
      </x:c>
      <x:c r="F127"/>
    </x:row>
    <x:row r="128">
      <x:c r="A128" t="str">
        <x:v>Galaxy A32</x:v>
      </x:c>
      <x:c r="B128" t="str">
        <x:v>LCD / Aftermarket</x:v>
      </x:c>
      <x:c r="C128" s="22"/>
      <x:c r="D128" s="18"/>
      <x:c r="E128" s="19" t="str">
        <x:f>IF(OR(C128="",D128=""),"",C128*D128)</x:f>
      </x:c>
      <x:c r="F128"/>
    </x:row>
    <x:row r="129">
      <x:c r="A129" t="str">
        <x:v>Galaxy A32</x:v>
      </x:c>
      <x:c r="B129" t="str">
        <x:v>OLED / Service Pack</x:v>
      </x:c>
      <x:c r="C129" s="22"/>
      <x:c r="D129" s="18"/>
      <x:c r="E129" s="19" t="str">
        <x:f>IF(OR(C129="",D129=""),"",C129*D129)</x:f>
      </x:c>
      <x:c r="F129"/>
    </x:row>
    <x:row r="130">
      <x:c r="A130" t="str">
        <x:v>Galaxy A33</x:v>
      </x:c>
      <x:c r="B130" t="str">
        <x:v>LCD / Aftermarket</x:v>
      </x:c>
      <x:c r="C130" s="22"/>
      <x:c r="D130" s="18"/>
      <x:c r="E130" s="19" t="str">
        <x:f>IF(OR(C130="",D130=""),"",C130*D130)</x:f>
      </x:c>
      <x:c r="F130"/>
    </x:row>
    <x:row r="131">
      <x:c r="A131" t="str">
        <x:v>Galaxy A33</x:v>
      </x:c>
      <x:c r="B131" t="str">
        <x:v>OLED / Service Pack</x:v>
      </x:c>
      <x:c r="C131" s="22"/>
      <x:c r="D131" s="18"/>
      <x:c r="E131" s="19" t="str">
        <x:f>IF(OR(C131="",D131=""),"",C131*D131)</x:f>
      </x:c>
      <x:c r="F131"/>
    </x:row>
    <x:row r="132">
      <x:c r="A132" t="str">
        <x:v>Galaxy A34</x:v>
      </x:c>
      <x:c r="B132" t="str">
        <x:v>LCD / Aftermarket</x:v>
      </x:c>
      <x:c r="C132" s="22"/>
      <x:c r="D132" s="18"/>
      <x:c r="E132" s="19" t="str">
        <x:f>IF(OR(C132="",D132=""),"",C132*D132)</x:f>
      </x:c>
      <x:c r="F132"/>
    </x:row>
    <x:row r="133">
      <x:c r="A133" t="str">
        <x:v>Galaxy A34</x:v>
      </x:c>
      <x:c r="B133" t="str">
        <x:v>OLED / Service Pack</x:v>
      </x:c>
      <x:c r="C133" s="22"/>
      <x:c r="D133" s="18"/>
      <x:c r="E133" s="19" t="str">
        <x:f>IF(OR(C133="",D133=""),"",C133*D133)</x:f>
      </x:c>
      <x:c r="F133"/>
    </x:row>
    <x:row r="134">
      <x:c r="A134" t="str">
        <x:v>Galaxy A35</x:v>
      </x:c>
      <x:c r="B134" t="str">
        <x:v>LCD / Aftermarket</x:v>
      </x:c>
      <x:c r="C134" s="22"/>
      <x:c r="D134" s="18"/>
      <x:c r="E134" s="19" t="str">
        <x:f>IF(OR(C134="",D134=""),"",C134*D134)</x:f>
      </x:c>
      <x:c r="F134"/>
    </x:row>
    <x:row r="135">
      <x:c r="A135" t="str">
        <x:v>Galaxy A35</x:v>
      </x:c>
      <x:c r="B135" t="str">
        <x:v>OLED / Service Pack</x:v>
      </x:c>
      <x:c r="C135" s="22"/>
      <x:c r="D135" s="18"/>
      <x:c r="E135" s="19" t="str">
        <x:f>IF(OR(C135="",D135=""),"",C135*D135)</x:f>
      </x:c>
      <x:c r="F135"/>
    </x:row>
    <x:row r="136">
      <x:c r="A136" t="str">
        <x:v>Galaxy A36</x:v>
      </x:c>
      <x:c r="B136" t="str">
        <x:v>LCD / Aftermarket</x:v>
      </x:c>
      <x:c r="C136" s="22"/>
      <x:c r="D136" s="18"/>
      <x:c r="E136" s="19" t="str">
        <x:f>IF(OR(C136="",D136=""),"",C136*D136)</x:f>
      </x:c>
      <x:c r="F136"/>
    </x:row>
    <x:row r="137">
      <x:c r="A137" t="str">
        <x:v>Galaxy A36</x:v>
      </x:c>
      <x:c r="B137" t="str">
        <x:v>OLED / Service Pack</x:v>
      </x:c>
      <x:c r="C137" s="22"/>
      <x:c r="D137" s="18"/>
      <x:c r="E137" s="19" t="str">
        <x:f>IF(OR(C137="",D137=""),"",C137*D137)</x:f>
      </x:c>
      <x:c r="F137"/>
    </x:row>
    <x:row r="138">
      <x:c r="A138" t="str">
        <x:v>Galaxy A50</x:v>
      </x:c>
      <x:c r="B138" t="str">
        <x:v>LCD / Aftermarket</x:v>
      </x:c>
      <x:c r="C138" s="22"/>
      <x:c r="D138" s="18"/>
      <x:c r="E138" s="19" t="str">
        <x:f>IF(OR(C138="",D138=""),"",C138*D138)</x:f>
      </x:c>
      <x:c r="F138"/>
    </x:row>
    <x:row r="139">
      <x:c r="A139" t="str">
        <x:v>Galaxy A50</x:v>
      </x:c>
      <x:c r="B139" t="str">
        <x:v>OLED / Service Pack</x:v>
      </x:c>
      <x:c r="C139" s="22"/>
      <x:c r="D139" s="18"/>
      <x:c r="E139" s="19" t="str">
        <x:f>IF(OR(C139="",D139=""),"",C139*D139)</x:f>
      </x:c>
      <x:c r="F139"/>
    </x:row>
    <x:row r="140">
      <x:c r="A140" t="str">
        <x:v>Galaxy A51</x:v>
      </x:c>
      <x:c r="B140" t="str">
        <x:v>LCD / Aftermarket</x:v>
      </x:c>
      <x:c r="C140" s="22"/>
      <x:c r="D140" s="18"/>
      <x:c r="E140" s="19" t="str">
        <x:f>IF(OR(C140="",D140=""),"",C140*D140)</x:f>
      </x:c>
      <x:c r="F140"/>
    </x:row>
    <x:row r="141">
      <x:c r="A141" t="str">
        <x:v>Galaxy A51</x:v>
      </x:c>
      <x:c r="B141" t="str">
        <x:v>OLED / Service Pack</x:v>
      </x:c>
      <x:c r="C141" s="22"/>
      <x:c r="D141" s="18"/>
      <x:c r="E141" s="19" t="str">
        <x:f>IF(OR(C141="",D141=""),"",C141*D141)</x:f>
      </x:c>
      <x:c r="F141"/>
    </x:row>
    <x:row r="142">
      <x:c r="A142" t="str">
        <x:v>Galaxy A52</x:v>
      </x:c>
      <x:c r="B142" t="str">
        <x:v>LCD / Aftermarket</x:v>
      </x:c>
      <x:c r="C142" s="22"/>
      <x:c r="D142" s="18"/>
      <x:c r="E142" s="19" t="str">
        <x:f>IF(OR(C142="",D142=""),"",C142*D142)</x:f>
      </x:c>
      <x:c r="F142"/>
    </x:row>
    <x:row r="143">
      <x:c r="A143" t="str">
        <x:v>Galaxy A52</x:v>
      </x:c>
      <x:c r="B143" t="str">
        <x:v>OLED / Service Pack</x:v>
      </x:c>
      <x:c r="C143" s="22"/>
      <x:c r="D143" s="18"/>
      <x:c r="E143" s="19" t="str">
        <x:f>IF(OR(C143="",D143=""),"",C143*D143)</x:f>
      </x:c>
      <x:c r="F143"/>
    </x:row>
    <x:row r="144">
      <x:c r="A144" t="str">
        <x:v>Galaxy A52s</x:v>
      </x:c>
      <x:c r="B144" t="str">
        <x:v>LCD / Aftermarket</x:v>
      </x:c>
      <x:c r="C144" s="22"/>
      <x:c r="D144" s="18"/>
      <x:c r="E144" s="19" t="str">
        <x:f>IF(OR(C144="",D144=""),"",C144*D144)</x:f>
      </x:c>
      <x:c r="F144"/>
    </x:row>
    <x:row r="145">
      <x:c r="A145" t="str">
        <x:v>Galaxy A52s</x:v>
      </x:c>
      <x:c r="B145" t="str">
        <x:v>OLED / Service Pack</x:v>
      </x:c>
      <x:c r="C145" s="22"/>
      <x:c r="D145" s="18"/>
      <x:c r="E145" s="19" t="str">
        <x:f>IF(OR(C145="",D145=""),"",C145*D145)</x:f>
      </x:c>
      <x:c r="F145"/>
    </x:row>
    <x:row r="146">
      <x:c r="A146" t="str">
        <x:v>Galaxy A53</x:v>
      </x:c>
      <x:c r="B146" t="str">
        <x:v>LCD / Aftermarket</x:v>
      </x:c>
      <x:c r="C146" s="22"/>
      <x:c r="D146" s="18"/>
      <x:c r="E146" s="19" t="str">
        <x:f>IF(OR(C146="",D146=""),"",C146*D146)</x:f>
      </x:c>
      <x:c r="F146"/>
    </x:row>
    <x:row r="147">
      <x:c r="A147" t="str">
        <x:v>Galaxy A53</x:v>
      </x:c>
      <x:c r="B147" t="str">
        <x:v>OLED / Service Pack</x:v>
      </x:c>
      <x:c r="C147" s="22"/>
      <x:c r="D147" s="18"/>
      <x:c r="E147" s="19" t="str">
        <x:f>IF(OR(C147="",D147=""),"",C147*D147)</x:f>
      </x:c>
      <x:c r="F147"/>
    </x:row>
    <x:row r="148">
      <x:c r="A148" t="str">
        <x:v>Galaxy A54</x:v>
      </x:c>
      <x:c r="B148" t="str">
        <x:v>LCD / Aftermarket</x:v>
      </x:c>
      <x:c r="C148" s="22"/>
      <x:c r="D148" s="18"/>
      <x:c r="E148" s="19" t="str">
        <x:f>IF(OR(C148="",D148=""),"",C148*D148)</x:f>
      </x:c>
      <x:c r="F148"/>
    </x:row>
    <x:row r="149">
      <x:c r="A149" t="str">
        <x:v>Galaxy A54</x:v>
      </x:c>
      <x:c r="B149" t="str">
        <x:v>OLED / Service Pack</x:v>
      </x:c>
      <x:c r="C149" s="22"/>
      <x:c r="D149" s="18"/>
      <x:c r="E149" s="19" t="str">
        <x:f>IF(OR(C149="",D149=""),"",C149*D149)</x:f>
      </x:c>
      <x:c r="F149"/>
    </x:row>
    <x:row r="150">
      <x:c r="A150" t="str">
        <x:v>Galaxy A55</x:v>
      </x:c>
      <x:c r="B150" t="str">
        <x:v>LCD / Aftermarket</x:v>
      </x:c>
      <x:c r="C150" s="22"/>
      <x:c r="D150" s="18"/>
      <x:c r="E150" s="19" t="str">
        <x:f>IF(OR(C150="",D150=""),"",C150*D150)</x:f>
      </x:c>
      <x:c r="F150"/>
    </x:row>
    <x:row r="151">
      <x:c r="A151" t="str">
        <x:v>Galaxy A55</x:v>
      </x:c>
      <x:c r="B151" t="str">
        <x:v>OLED / Service Pack</x:v>
      </x:c>
      <x:c r="C151" s="22"/>
      <x:c r="D151" s="18"/>
      <x:c r="E151" s="19" t="str">
        <x:f>IF(OR(C151="",D151=""),"",C151*D151)</x:f>
      </x:c>
      <x:c r="F151"/>
    </x:row>
    <x:row r="152">
      <x:c r="A152" t="str">
        <x:v>Galaxy A56</x:v>
      </x:c>
      <x:c r="B152" t="str">
        <x:v>LCD / Aftermarket</x:v>
      </x:c>
      <x:c r="C152" s="22"/>
      <x:c r="D152" s="18"/>
      <x:c r="E152" s="19" t="str">
        <x:f>IF(OR(C152="",D152=""),"",C152*D152)</x:f>
      </x:c>
      <x:c r="F152"/>
    </x:row>
    <x:row r="153">
      <x:c r="A153" t="str">
        <x:v>Galaxy A56</x:v>
      </x:c>
      <x:c r="B153" t="str">
        <x:v>OLED / Service Pack</x:v>
      </x:c>
      <x:c r="C153" s="22"/>
      <x:c r="D153" s="18"/>
      <x:c r="E153" s="19" t="str">
        <x:f>IF(OR(C153="",D153=""),"",C153*D153)</x:f>
      </x:c>
      <x:c r="F153"/>
    </x:row>
    <x:row r="154">
      <x:c r="A154" t="str">
        <x:v>Galaxy A70</x:v>
      </x:c>
      <x:c r="B154" t="str">
        <x:v>LCD / Aftermarket</x:v>
      </x:c>
      <x:c r="C154" s="22"/>
      <x:c r="D154" s="18"/>
      <x:c r="E154" s="19" t="str">
        <x:f>IF(OR(C154="",D154=""),"",C154*D154)</x:f>
      </x:c>
      <x:c r="F154"/>
    </x:row>
    <x:row r="155">
      <x:c r="A155" t="str">
        <x:v>Galaxy A70</x:v>
      </x:c>
      <x:c r="B155" t="str">
        <x:v>OLED / Service Pack</x:v>
      </x:c>
      <x:c r="C155" s="22"/>
      <x:c r="D155" s="18"/>
      <x:c r="E155" s="19" t="str">
        <x:f>IF(OR(C155="",D155=""),"",C155*D155)</x:f>
      </x:c>
      <x:c r="F155"/>
    </x:row>
    <x:row r="156">
      <x:c r="A156" t="str">
        <x:v>Galaxy A71</x:v>
      </x:c>
      <x:c r="B156" t="str">
        <x:v>LCD / Aftermarket</x:v>
      </x:c>
      <x:c r="C156" s="22"/>
      <x:c r="D156" s="18"/>
      <x:c r="E156" s="19" t="str">
        <x:f>IF(OR(C156="",D156=""),"",C156*D156)</x:f>
      </x:c>
      <x:c r="F156"/>
    </x:row>
    <x:row r="157">
      <x:c r="A157" t="str">
        <x:v>Galaxy A71</x:v>
      </x:c>
      <x:c r="B157" t="str">
        <x:v>OLED / Service Pack</x:v>
      </x:c>
      <x:c r="C157" s="22"/>
      <x:c r="D157" s="18"/>
      <x:c r="E157" s="19" t="str">
        <x:f>IF(OR(C157="",D157=""),"",C157*D157)</x:f>
      </x:c>
      <x:c r="F157"/>
    </x:row>
    <x:row r="158">
      <x:c r="A158" t="str">
        <x:v>Galaxy A72</x:v>
      </x:c>
      <x:c r="B158" t="str">
        <x:v>LCD / Aftermarket</x:v>
      </x:c>
      <x:c r="C158" s="22"/>
      <x:c r="D158" s="18"/>
      <x:c r="E158" s="19" t="str">
        <x:f>IF(OR(C158="",D158=""),"",C158*D158)</x:f>
      </x:c>
      <x:c r="F158"/>
    </x:row>
    <x:row r="159">
      <x:c r="A159" t="str">
        <x:v>Galaxy A72</x:v>
      </x:c>
      <x:c r="B159" t="str">
        <x:v>OLED / Service Pack</x:v>
      </x:c>
      <x:c r="C159" s="22"/>
      <x:c r="D159" s="18"/>
      <x:c r="E159" s="19" t="str">
        <x:f>IF(OR(C159="",D159=""),"",C159*D159)</x:f>
      </x:c>
      <x:c r="F159"/>
    </x:row>
    <x:row r="160">
      <x:c r="A160" t="str">
        <x:v>Galaxy A73</x:v>
      </x:c>
      <x:c r="B160" t="str">
        <x:v>LCD / Aftermarket</x:v>
      </x:c>
      <x:c r="C160" s="22"/>
      <x:c r="D160" s="18"/>
      <x:c r="E160" s="19" t="str">
        <x:f>IF(OR(C160="",D160=""),"",C160*D160)</x:f>
      </x:c>
      <x:c r="F160"/>
    </x:row>
    <x:row r="161">
      <x:c r="A161" t="str">
        <x:v>Galaxy A73</x:v>
      </x:c>
      <x:c r="B161" t="str">
        <x:v>OLED / Service Pack</x:v>
      </x:c>
      <x:c r="C161" s="22"/>
      <x:c r="D161" s="18"/>
      <x:c r="E161" s="19" t="str">
        <x:f>IF(OR(C161="",D161=""),"",C161*D161)</x:f>
      </x:c>
      <x:c r="F161"/>
    </x:row>
    <x:row r="162">
      <x:c r="A162" t="str">
        <x:v>Galaxy M12</x:v>
      </x:c>
      <x:c r="B162" t="str">
        <x:v>LCD / Aftermarket</x:v>
      </x:c>
      <x:c r="C162" s="22"/>
      <x:c r="D162" s="18"/>
      <x:c r="E162" s="19" t="str">
        <x:f>IF(OR(C162="",D162=""),"",C162*D162)</x:f>
      </x:c>
      <x:c r="F162"/>
    </x:row>
    <x:row r="163">
      <x:c r="A163" t="str">
        <x:v>Galaxy M12</x:v>
      </x:c>
      <x:c r="B163" t="str">
        <x:v>OLED / Service Pack</x:v>
      </x:c>
      <x:c r="C163" s="22"/>
      <x:c r="D163" s="18"/>
      <x:c r="E163" s="19" t="str">
        <x:f>IF(OR(C163="",D163=""),"",C163*D163)</x:f>
      </x:c>
      <x:c r="F163"/>
    </x:row>
    <x:row r="164">
      <x:c r="A164" t="str">
        <x:v>Galaxy M13</x:v>
      </x:c>
      <x:c r="B164" t="str">
        <x:v>LCD / Aftermarket</x:v>
      </x:c>
      <x:c r="C164" s="22"/>
      <x:c r="D164" s="18"/>
      <x:c r="E164" s="19" t="str">
        <x:f>IF(OR(C164="",D164=""),"",C164*D164)</x:f>
      </x:c>
      <x:c r="F164"/>
    </x:row>
    <x:row r="165">
      <x:c r="A165" t="str">
        <x:v>Galaxy M13</x:v>
      </x:c>
      <x:c r="B165" t="str">
        <x:v>OLED / Service Pack</x:v>
      </x:c>
      <x:c r="C165" s="22"/>
      <x:c r="D165" s="18"/>
      <x:c r="E165" s="19" t="str">
        <x:f>IF(OR(C165="",D165=""),"",C165*D165)</x:f>
      </x:c>
      <x:c r="F165"/>
    </x:row>
    <x:row r="166">
      <x:c r="A166" t="str">
        <x:v>Galaxy M14</x:v>
      </x:c>
      <x:c r="B166" t="str">
        <x:v>LCD / Aftermarket</x:v>
      </x:c>
      <x:c r="C166" s="22"/>
      <x:c r="D166" s="18"/>
      <x:c r="E166" s="19" t="str">
        <x:f>IF(OR(C166="",D166=""),"",C166*D166)</x:f>
      </x:c>
      <x:c r="F166"/>
    </x:row>
    <x:row r="167">
      <x:c r="A167" t="str">
        <x:v>Galaxy M14</x:v>
      </x:c>
      <x:c r="B167" t="str">
        <x:v>OLED / Service Pack</x:v>
      </x:c>
      <x:c r="C167" s="22"/>
      <x:c r="D167" s="18"/>
      <x:c r="E167" s="19" t="str">
        <x:f>IF(OR(C167="",D167=""),"",C167*D167)</x:f>
      </x:c>
      <x:c r="F167"/>
    </x:row>
    <x:row r="168">
      <x:c r="A168" t="str">
        <x:v>Galaxy M15</x:v>
      </x:c>
      <x:c r="B168" t="str">
        <x:v>LCD / Aftermarket</x:v>
      </x:c>
      <x:c r="C168" s="22"/>
      <x:c r="D168" s="18"/>
      <x:c r="E168" s="19" t="str">
        <x:f>IF(OR(C168="",D168=""),"",C168*D168)</x:f>
      </x:c>
      <x:c r="F168"/>
    </x:row>
    <x:row r="169">
      <x:c r="A169" t="str">
        <x:v>Galaxy M15</x:v>
      </x:c>
      <x:c r="B169" t="str">
        <x:v>OLED / Service Pack</x:v>
      </x:c>
      <x:c r="C169" s="22"/>
      <x:c r="D169" s="18"/>
      <x:c r="E169" s="19" t="str">
        <x:f>IF(OR(C169="",D169=""),"",C169*D169)</x:f>
      </x:c>
      <x:c r="F169"/>
    </x:row>
    <x:row r="170">
      <x:c r="A170" t="str">
        <x:v>Galaxy M21</x:v>
      </x:c>
      <x:c r="B170" t="str">
        <x:v>LCD / Aftermarket</x:v>
      </x:c>
      <x:c r="C170" s="22"/>
      <x:c r="D170" s="18"/>
      <x:c r="E170" s="19" t="str">
        <x:f>IF(OR(C170="",D170=""),"",C170*D170)</x:f>
      </x:c>
      <x:c r="F170"/>
    </x:row>
    <x:row r="171">
      <x:c r="A171" t="str">
        <x:v>Galaxy M21</x:v>
      </x:c>
      <x:c r="B171" t="str">
        <x:v>OLED / Service Pack</x:v>
      </x:c>
      <x:c r="C171" s="22"/>
      <x:c r="D171" s="18"/>
      <x:c r="E171" s="19" t="str">
        <x:f>IF(OR(C171="",D171=""),"",C171*D171)</x:f>
      </x:c>
      <x:c r="F171"/>
    </x:row>
    <x:row r="172">
      <x:c r="A172" t="str">
        <x:v>Galaxy M31</x:v>
      </x:c>
      <x:c r="B172" t="str">
        <x:v>LCD / Aftermarket</x:v>
      </x:c>
      <x:c r="C172" s="22"/>
      <x:c r="D172" s="18"/>
      <x:c r="E172" s="19" t="str">
        <x:f>IF(OR(C172="",D172=""),"",C172*D172)</x:f>
      </x:c>
      <x:c r="F172"/>
    </x:row>
    <x:row r="173">
      <x:c r="A173" t="str">
        <x:v>Galaxy M31</x:v>
      </x:c>
      <x:c r="B173" t="str">
        <x:v>OLED / Service Pack</x:v>
      </x:c>
      <x:c r="C173" s="22"/>
      <x:c r="D173" s="18"/>
      <x:c r="E173" s="19" t="str">
        <x:f>IF(OR(C173="",D173=""),"",C173*D173)</x:f>
      </x:c>
      <x:c r="F173"/>
    </x:row>
    <x:row r="174">
      <x:c r="A174" t="str">
        <x:v>Galaxy M32</x:v>
      </x:c>
      <x:c r="B174" t="str">
        <x:v>LCD / Aftermarket</x:v>
      </x:c>
      <x:c r="C174" s="22"/>
      <x:c r="D174" s="18"/>
      <x:c r="E174" s="19" t="str">
        <x:f>IF(OR(C174="",D174=""),"",C174*D174)</x:f>
      </x:c>
      <x:c r="F174"/>
    </x:row>
    <x:row r="175">
      <x:c r="A175" t="str">
        <x:v>Galaxy M32</x:v>
      </x:c>
      <x:c r="B175" t="str">
        <x:v>OLED / Service Pack</x:v>
      </x:c>
      <x:c r="C175" s="22"/>
      <x:c r="D175" s="18"/>
      <x:c r="E175" s="19" t="str">
        <x:f>IF(OR(C175="",D175=""),"",C175*D175)</x:f>
      </x:c>
      <x:c r="F175"/>
    </x:row>
    <x:row r="176">
      <x:c r="A176" t="str">
        <x:v>Galaxy M33</x:v>
      </x:c>
      <x:c r="B176" t="str">
        <x:v>LCD / Aftermarket</x:v>
      </x:c>
      <x:c r="C176" s="22"/>
      <x:c r="D176" s="18"/>
      <x:c r="E176" s="19" t="str">
        <x:f>IF(OR(C176="",D176=""),"",C176*D176)</x:f>
      </x:c>
      <x:c r="F176"/>
    </x:row>
    <x:row r="177">
      <x:c r="A177" t="str">
        <x:v>Galaxy M33</x:v>
      </x:c>
      <x:c r="B177" t="str">
        <x:v>OLED / Service Pack</x:v>
      </x:c>
      <x:c r="C177" s="22"/>
      <x:c r="D177" s="18"/>
      <x:c r="E177" s="19" t="str">
        <x:f>IF(OR(C177="",D177=""),"",C177*D177)</x:f>
      </x:c>
      <x:c r="F177"/>
    </x:row>
    <x:row r="178">
      <x:c r="A178" t="str">
        <x:v>Galaxy M34</x:v>
      </x:c>
      <x:c r="B178" t="str">
        <x:v>LCD / Aftermarket</x:v>
      </x:c>
      <x:c r="C178" s="22"/>
      <x:c r="D178" s="18"/>
      <x:c r="E178" s="19" t="str">
        <x:f>IF(OR(C178="",D178=""),"",C178*D178)</x:f>
      </x:c>
      <x:c r="F178"/>
    </x:row>
    <x:row r="179">
      <x:c r="A179" t="str">
        <x:v>Galaxy M34</x:v>
      </x:c>
      <x:c r="B179" t="str">
        <x:v>OLED / Service Pack</x:v>
      </x:c>
      <x:c r="C179" s="22"/>
      <x:c r="D179" s="18"/>
      <x:c r="E179" s="19" t="str">
        <x:f>IF(OR(C179="",D179=""),"",C179*D179)</x:f>
      </x:c>
      <x:c r="F179"/>
    </x:row>
    <x:row r="180">
      <x:c r="A180" t="str">
        <x:v>Galaxy M35</x:v>
      </x:c>
      <x:c r="B180" t="str">
        <x:v>LCD / Aftermarket</x:v>
      </x:c>
      <x:c r="C180" s="22"/>
      <x:c r="D180" s="18"/>
      <x:c r="E180" s="19" t="str">
        <x:f>IF(OR(C180="",D180=""),"",C180*D180)</x:f>
      </x:c>
      <x:c r="F180"/>
    </x:row>
    <x:row r="181">
      <x:c r="A181" t="str">
        <x:v>Galaxy M35</x:v>
      </x:c>
      <x:c r="B181" t="str">
        <x:v>OLED / Service Pack</x:v>
      </x:c>
      <x:c r="C181" s="22"/>
      <x:c r="D181" s="18"/>
      <x:c r="E181" s="19" t="str">
        <x:f>IF(OR(C181="",D181=""),"",C181*D181)</x:f>
      </x:c>
      <x:c r="F181"/>
    </x:row>
    <x:row r="182">
      <x:c r="A182" t="str">
        <x:v>Galaxy Z Flip3</x:v>
      </x:c>
      <x:c r="B182" t="str">
        <x:v>LCD / Aftermarket</x:v>
      </x:c>
      <x:c r="C182" s="22"/>
      <x:c r="D182" s="18"/>
      <x:c r="E182" s="19" t="str">
        <x:f>IF(OR(C182="",D182=""),"",C182*D182)</x:f>
      </x:c>
      <x:c r="F182"/>
    </x:row>
    <x:row r="183">
      <x:c r="A183" t="str">
        <x:v>Galaxy Z Flip3</x:v>
      </x:c>
      <x:c r="B183" t="str">
        <x:v>OLED / Service Pack</x:v>
      </x:c>
      <x:c r="C183" s="22"/>
      <x:c r="D183" s="18"/>
      <x:c r="E183" s="19" t="str">
        <x:f>IF(OR(C183="",D183=""),"",C183*D183)</x:f>
      </x:c>
      <x:c r="F183"/>
    </x:row>
    <x:row r="184">
      <x:c r="A184" t="str">
        <x:v>Galaxy Z Flip4</x:v>
      </x:c>
      <x:c r="B184" t="str">
        <x:v>LCD / Aftermarket</x:v>
      </x:c>
      <x:c r="C184" s="22"/>
      <x:c r="D184" s="18"/>
      <x:c r="E184" s="19" t="str">
        <x:f>IF(OR(C184="",D184=""),"",C184*D184)</x:f>
      </x:c>
      <x:c r="F184"/>
    </x:row>
    <x:row r="185">
      <x:c r="A185" t="str">
        <x:v>Galaxy Z Flip4</x:v>
      </x:c>
      <x:c r="B185" t="str">
        <x:v>OLED / Service Pack</x:v>
      </x:c>
      <x:c r="C185" s="22"/>
      <x:c r="D185" s="18"/>
      <x:c r="E185" s="19" t="str">
        <x:f>IF(OR(C185="",D185=""),"",C185*D185)</x:f>
      </x:c>
      <x:c r="F185"/>
    </x:row>
    <x:row r="186">
      <x:c r="A186" t="str">
        <x:v>Galaxy Z Flip5</x:v>
      </x:c>
      <x:c r="B186" t="str">
        <x:v>LCD / Aftermarket</x:v>
      </x:c>
      <x:c r="C186" s="22"/>
      <x:c r="D186" s="18"/>
      <x:c r="E186" s="19" t="str">
        <x:f>IF(OR(C186="",D186=""),"",C186*D186)</x:f>
      </x:c>
      <x:c r="F186"/>
    </x:row>
    <x:row r="187">
      <x:c r="A187" t="str">
        <x:v>Galaxy Z Flip5</x:v>
      </x:c>
      <x:c r="B187" t="str">
        <x:v>OLED / Service Pack</x:v>
      </x:c>
      <x:c r="C187" s="22"/>
      <x:c r="D187" s="18"/>
      <x:c r="E187" s="19" t="str">
        <x:f>IF(OR(C187="",D187=""),"",C187*D187)</x:f>
      </x:c>
      <x:c r="F187"/>
    </x:row>
    <x:row r="188">
      <x:c r="A188" t="str">
        <x:v>Galaxy Z Flip6</x:v>
      </x:c>
      <x:c r="B188" t="str">
        <x:v>LCD / Aftermarket</x:v>
      </x:c>
      <x:c r="C188" s="22"/>
      <x:c r="D188" s="18"/>
      <x:c r="E188" s="19" t="str">
        <x:f>IF(OR(C188="",D188=""),"",C188*D188)</x:f>
      </x:c>
      <x:c r="F188"/>
    </x:row>
    <x:row r="189">
      <x:c r="A189" t="str">
        <x:v>Galaxy Z Flip6</x:v>
      </x:c>
      <x:c r="B189" t="str">
        <x:v>OLED / Service Pack</x:v>
      </x:c>
      <x:c r="C189" s="22"/>
      <x:c r="D189" s="18"/>
      <x:c r="E189" s="19" t="str">
        <x:f>IF(OR(C189="",D189=""),"",C189*D189)</x:f>
      </x:c>
      <x:c r="F189"/>
    </x:row>
    <x:row r="190">
      <x:c r="A190" t="str">
        <x:v>Galaxy Z Flip7</x:v>
      </x:c>
      <x:c r="B190" t="str">
        <x:v>LCD / Aftermarket</x:v>
      </x:c>
      <x:c r="C190" s="22"/>
      <x:c r="D190" s="18"/>
      <x:c r="E190" s="19" t="str">
        <x:f>IF(OR(C190="",D190=""),"",C190*D190)</x:f>
      </x:c>
      <x:c r="F190"/>
    </x:row>
    <x:row r="191">
      <x:c r="A191" t="str">
        <x:v>Galaxy Z Flip7</x:v>
      </x:c>
      <x:c r="B191" t="str">
        <x:v>OLED / Service Pack</x:v>
      </x:c>
      <x:c r="C191" s="22"/>
      <x:c r="D191" s="18"/>
      <x:c r="E191" s="19" t="str">
        <x:f>IF(OR(C191="",D191=""),"",C191*D191)</x:f>
      </x:c>
      <x:c r="F191"/>
    </x:row>
    <x:row r="192">
      <x:c r="A192" t="str">
        <x:v>Galaxy Z Fold3</x:v>
      </x:c>
      <x:c r="B192" t="str">
        <x:v>LCD / Aftermarket</x:v>
      </x:c>
      <x:c r="C192" s="22"/>
      <x:c r="D192" s="18"/>
      <x:c r="E192" s="19" t="str">
        <x:f>IF(OR(C192="",D192=""),"",C192*D192)</x:f>
      </x:c>
      <x:c r="F192"/>
    </x:row>
    <x:row r="193">
      <x:c r="A193" t="str">
        <x:v>Galaxy Z Fold3</x:v>
      </x:c>
      <x:c r="B193" t="str">
        <x:v>OLED / Service Pack</x:v>
      </x:c>
      <x:c r="C193" s="22"/>
      <x:c r="D193" s="18"/>
      <x:c r="E193" s="19" t="str">
        <x:f>IF(OR(C193="",D193=""),"",C193*D193)</x:f>
      </x:c>
      <x:c r="F193"/>
    </x:row>
    <x:row r="194">
      <x:c r="A194" t="str">
        <x:v>Galaxy Z Fold4</x:v>
      </x:c>
      <x:c r="B194" t="str">
        <x:v>LCD / Aftermarket</x:v>
      </x:c>
      <x:c r="C194" s="22"/>
      <x:c r="D194" s="18"/>
      <x:c r="E194" s="19" t="str">
        <x:f>IF(OR(C194="",D194=""),"",C194*D194)</x:f>
      </x:c>
      <x:c r="F194"/>
    </x:row>
    <x:row r="195">
      <x:c r="A195" t="str">
        <x:v>Galaxy Z Fold4</x:v>
      </x:c>
      <x:c r="B195" t="str">
        <x:v>OLED / Service Pack</x:v>
      </x:c>
      <x:c r="C195" s="22"/>
      <x:c r="D195" s="18"/>
      <x:c r="E195" s="19" t="str">
        <x:f>IF(OR(C195="",D195=""),"",C195*D195)</x:f>
      </x:c>
      <x:c r="F195"/>
    </x:row>
    <x:row r="196">
      <x:c r="A196" t="str">
        <x:v>Galaxy Z Fold5</x:v>
      </x:c>
      <x:c r="B196" t="str">
        <x:v>LCD / Aftermarket</x:v>
      </x:c>
      <x:c r="C196" s="22"/>
      <x:c r="D196" s="18"/>
      <x:c r="E196" s="19" t="str">
        <x:f>IF(OR(C196="",D196=""),"",C196*D196)</x:f>
      </x:c>
      <x:c r="F196"/>
    </x:row>
    <x:row r="197">
      <x:c r="A197" t="str">
        <x:v>Galaxy Z Fold5</x:v>
      </x:c>
      <x:c r="B197" t="str">
        <x:v>OLED / Service Pack</x:v>
      </x:c>
      <x:c r="C197" s="22"/>
      <x:c r="D197" s="18"/>
      <x:c r="E197" s="19" t="str">
        <x:f>IF(OR(C197="",D197=""),"",C197*D197)</x:f>
      </x:c>
      <x:c r="F197"/>
    </x:row>
    <x:row r="198">
      <x:c r="A198" t="str">
        <x:v>Galaxy Z Fold6</x:v>
      </x:c>
      <x:c r="B198" t="str">
        <x:v>LCD / Aftermarket</x:v>
      </x:c>
      <x:c r="C198" s="22"/>
      <x:c r="D198" s="18"/>
      <x:c r="E198" s="19" t="str">
        <x:f>IF(OR(C198="",D198=""),"",C198*D198)</x:f>
      </x:c>
      <x:c r="F198"/>
    </x:row>
    <x:row r="199">
      <x:c r="A199" t="str">
        <x:v>Galaxy Z Fold6</x:v>
      </x:c>
      <x:c r="B199" t="str">
        <x:v>OLED / Service Pack</x:v>
      </x:c>
      <x:c r="C199" s="22"/>
      <x:c r="D199" s="18"/>
      <x:c r="E199" s="19" t="str">
        <x:f>IF(OR(C199="",D199=""),"",C199*D199)</x:f>
      </x:c>
      <x:c r="F199"/>
    </x:row>
    <x:row r="200">
      <x:c r="A200" t="str">
        <x:v>Galaxy Z Fold7</x:v>
      </x:c>
      <x:c r="B200" t="str">
        <x:v>LCD / Aftermarket</x:v>
      </x:c>
      <x:c r="C200" s="22"/>
      <x:c r="D200" s="18"/>
      <x:c r="E200" s="19" t="str">
        <x:f>IF(OR(C200="",D200=""),"",C200*D200)</x:f>
      </x:c>
      <x:c r="F200"/>
    </x:row>
    <x:row r="201">
      <x:c r="A201" t="str">
        <x:v>Galaxy Z Fold7</x:v>
      </x:c>
      <x:c r="B201" t="str">
        <x:v>OLED / Service Pack</x:v>
      </x:c>
      <x:c r="C201" s="22"/>
      <x:c r="D201" s="18"/>
      <x:c r="E201" s="19" t="str">
        <x:f>IF(OR(C201="",D201=""),"",C201*D201)</x:f>
      </x:c>
      <x:c r="F201"/>
    </x:row>
    <x:row r="202">
      <x:c r="D202" s="19"/>
      <x:c r="E202" s="19"/>
    </x:row>
    <x:row r="203" ht="30" customHeight="1">
      <x:c r="A203" s="10" t="str">
        <x:v>CATEGORY TOTAL (€)</x:v>
      </x:c>
      <x:c r="B203" s="10"/>
      <x:c r="C203" s="10"/>
      <x:c r="D203" s="25"/>
      <x:c r="E203" s="25" t="n">
        <x:f>SUM(E6:E201)</x:f>
        <x:v>0</x:v>
      </x:c>
      <x:c r="F203" s="10"/>
    </x:row>
  </x:sheetData>
  <x:mergeCells>
    <x:mergeCell ref="A1:F2"/>
    <x:mergeCell ref="A203:D20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29" hidden="0" customWidth="1"/>
    <x:col min="3" max="3" width="12" hidden="0" customWidth="1"/>
    <x:col min="4" max="4" width="20" hidden="0" customWidth="1"/>
    <x:col min="5" max="5" width="20" hidden="0" customWidth="1"/>
    <x:col min="6" max="6" width="33" hidden="0" customWidth="1"/>
  </x:cols>
  <x:sheetData>
    <x:row r="1" ht="25" customHeight="1">
      <x:c r="A1" s="14" t="str">
        <x:v>ZAFA TECH PARIS  |  SAMSUNG CHARGING</x:v>
      </x:c>
      <x:c r="B1" s="14"/>
      <x:c r="C1" s="14"/>
      <x:c r="D1" s="14"/>
      <x:c r="E1" s="14"/>
      <x:c r="F1" s="14"/>
    </x:row>
    <x:row r="2" ht="25" customHeight="1">
      <x:c r="A2" s="14"/>
      <x:c r="B2" s="14"/>
      <x:c r="C2" s="14"/>
      <x:c r="D2" s="14"/>
      <x:c r="E2" s="14"/>
      <x:c r="F2" s="14"/>
    </x:row>
    <x:row r="3">
      <x:c r="A3" t="str">
        <x:v>Fill in Qty and Unit Price (€). Blue cells are for your inputs.</x:v>
      </x:c>
    </x:row>
    <x:row r="5" ht="28" customHeight="1">
      <x:c r="A5" s="7" t="str">
        <x:v>Model</x:v>
      </x:c>
      <x:c r="B5" s="7" t="str">
        <x:v>Part Type</x:v>
      </x:c>
      <x:c r="C5" s="7" t="str">
        <x:v>Qty</x:v>
      </x:c>
      <x:c r="D5" s="7" t="str">
        <x:v>Unit Price (€)</x:v>
      </x:c>
      <x:c r="E5" s="7" t="str">
        <x:v>Total (€)</x:v>
      </x:c>
      <x:c r="F5" s="7" t="str">
        <x:v>Supplier / Notes</x:v>
      </x:c>
    </x:row>
    <x:row r="6">
      <x:c r="A6" t="str">
        <x:v>Galaxy S8</x:v>
      </x:c>
      <x:c r="B6" t="str">
        <x:v>Charging Port / Board</x:v>
      </x:c>
      <x:c r="C6" s="22"/>
      <x:c r="D6" s="18"/>
      <x:c r="E6" s="19" t="str">
        <x:f>IF(OR(C6="",D6=""),"",C6*D6)</x:f>
      </x:c>
      <x:c r="F6"/>
    </x:row>
    <x:row r="7">
      <x:c r="A7" t="str">
        <x:v>Galaxy S8+</x:v>
      </x:c>
      <x:c r="B7" t="str">
        <x:v>Charging Port / Board</x:v>
      </x:c>
      <x:c r="C7" s="22"/>
      <x:c r="D7" s="18"/>
      <x:c r="E7" s="19" t="str">
        <x:f>IF(OR(C7="",D7=""),"",C7*D7)</x:f>
      </x:c>
      <x:c r="F7"/>
    </x:row>
    <x:row r="8">
      <x:c r="A8" t="str">
        <x:v>Galaxy S9</x:v>
      </x:c>
      <x:c r="B8" t="str">
        <x:v>Charging Port / Board</x:v>
      </x:c>
      <x:c r="C8" s="22"/>
      <x:c r="D8" s="18"/>
      <x:c r="E8" s="19" t="str">
        <x:f>IF(OR(C8="",D8=""),"",C8*D8)</x:f>
      </x:c>
      <x:c r="F8"/>
    </x:row>
    <x:row r="9">
      <x:c r="A9" t="str">
        <x:v>Galaxy S9+</x:v>
      </x:c>
      <x:c r="B9" t="str">
        <x:v>Charging Port / Board</x:v>
      </x:c>
      <x:c r="C9" s="22"/>
      <x:c r="D9" s="18"/>
      <x:c r="E9" s="19" t="str">
        <x:f>IF(OR(C9="",D9=""),"",C9*D9)</x:f>
      </x:c>
      <x:c r="F9"/>
    </x:row>
    <x:row r="10">
      <x:c r="A10" t="str">
        <x:v>Galaxy S10e</x:v>
      </x:c>
      <x:c r="B10" t="str">
        <x:v>Charging Port / Board</x:v>
      </x:c>
      <x:c r="C10" s="22"/>
      <x:c r="D10" s="18"/>
      <x:c r="E10" s="19" t="str">
        <x:f>IF(OR(C10="",D10=""),"",C10*D10)</x:f>
      </x:c>
      <x:c r="F10"/>
    </x:row>
    <x:row r="11">
      <x:c r="A11" t="str">
        <x:v>Galaxy S10</x:v>
      </x:c>
      <x:c r="B11" t="str">
        <x:v>Charging Port / Board</x:v>
      </x:c>
      <x:c r="C11" s="22"/>
      <x:c r="D11" s="18"/>
      <x:c r="E11" s="19" t="str">
        <x:f>IF(OR(C11="",D11=""),"",C11*D11)</x:f>
      </x:c>
      <x:c r="F11"/>
    </x:row>
    <x:row r="12">
      <x:c r="A12" t="str">
        <x:v>Galaxy S10+</x:v>
      </x:c>
      <x:c r="B12" t="str">
        <x:v>Charging Port / Board</x:v>
      </x:c>
      <x:c r="C12" s="22"/>
      <x:c r="D12" s="18"/>
      <x:c r="E12" s="19" t="str">
        <x:f>IF(OR(C12="",D12=""),"",C12*D12)</x:f>
      </x:c>
      <x:c r="F12"/>
    </x:row>
    <x:row r="13">
      <x:c r="A13" t="str">
        <x:v>Galaxy S10 5G</x:v>
      </x:c>
      <x:c r="B13" t="str">
        <x:v>Charging Port / Board</x:v>
      </x:c>
      <x:c r="C13" s="22"/>
      <x:c r="D13" s="18"/>
      <x:c r="E13" s="19" t="str">
        <x:f>IF(OR(C13="",D13=""),"",C13*D13)</x:f>
      </x:c>
      <x:c r="F13"/>
    </x:row>
    <x:row r="14">
      <x:c r="A14" t="str">
        <x:v>Galaxy S20</x:v>
      </x:c>
      <x:c r="B14" t="str">
        <x:v>Charging Port / Board</x:v>
      </x:c>
      <x:c r="C14" s="22"/>
      <x:c r="D14" s="18"/>
      <x:c r="E14" s="19" t="str">
        <x:f>IF(OR(C14="",D14=""),"",C14*D14)</x:f>
      </x:c>
      <x:c r="F14"/>
    </x:row>
    <x:row r="15">
      <x:c r="A15" t="str">
        <x:v>Galaxy S20+</x:v>
      </x:c>
      <x:c r="B15" t="str">
        <x:v>Charging Port / Board</x:v>
      </x:c>
      <x:c r="C15" s="22"/>
      <x:c r="D15" s="18"/>
      <x:c r="E15" s="19" t="str">
        <x:f>IF(OR(C15="",D15=""),"",C15*D15)</x:f>
      </x:c>
      <x:c r="F15"/>
    </x:row>
    <x:row r="16">
      <x:c r="A16" t="str">
        <x:v>Galaxy S20 Ultra</x:v>
      </x:c>
      <x:c r="B16" t="str">
        <x:v>Charging Port / Board</x:v>
      </x:c>
      <x:c r="C16" s="22"/>
      <x:c r="D16" s="18"/>
      <x:c r="E16" s="19" t="str">
        <x:f>IF(OR(C16="",D16=""),"",C16*D16)</x:f>
      </x:c>
      <x:c r="F16"/>
    </x:row>
    <x:row r="17">
      <x:c r="A17" t="str">
        <x:v>Galaxy S20 FE</x:v>
      </x:c>
      <x:c r="B17" t="str">
        <x:v>Charging Port / Board</x:v>
      </x:c>
      <x:c r="C17" s="22"/>
      <x:c r="D17" s="18"/>
      <x:c r="E17" s="19" t="str">
        <x:f>IF(OR(C17="",D17=""),"",C17*D17)</x:f>
      </x:c>
      <x:c r="F17"/>
    </x:row>
    <x:row r="18">
      <x:c r="A18" t="str">
        <x:v>Galaxy S21</x:v>
      </x:c>
      <x:c r="B18" t="str">
        <x:v>Charging Port / Board</x:v>
      </x:c>
      <x:c r="C18" s="22"/>
      <x:c r="D18" s="18"/>
      <x:c r="E18" s="19" t="str">
        <x:f>IF(OR(C18="",D18=""),"",C18*D18)</x:f>
      </x:c>
      <x:c r="F18"/>
    </x:row>
    <x:row r="19">
      <x:c r="A19" t="str">
        <x:v>Galaxy S21+</x:v>
      </x:c>
      <x:c r="B19" t="str">
        <x:v>Charging Port / Board</x:v>
      </x:c>
      <x:c r="C19" s="22"/>
      <x:c r="D19" s="18"/>
      <x:c r="E19" s="19" t="str">
        <x:f>IF(OR(C19="",D19=""),"",C19*D19)</x:f>
      </x:c>
      <x:c r="F19"/>
    </x:row>
    <x:row r="20">
      <x:c r="A20" t="str">
        <x:v>Galaxy S21 Ultra</x:v>
      </x:c>
      <x:c r="B20" t="str">
        <x:v>Charging Port / Board</x:v>
      </x:c>
      <x:c r="C20" s="22"/>
      <x:c r="D20" s="18"/>
      <x:c r="E20" s="19" t="str">
        <x:f>IF(OR(C20="",D20=""),"",C20*D20)</x:f>
      </x:c>
      <x:c r="F20"/>
    </x:row>
    <x:row r="21">
      <x:c r="A21" t="str">
        <x:v>Galaxy S21 FE</x:v>
      </x:c>
      <x:c r="B21" t="str">
        <x:v>Charging Port / Board</x:v>
      </x:c>
      <x:c r="C21" s="22"/>
      <x:c r="D21" s="18"/>
      <x:c r="E21" s="19" t="str">
        <x:f>IF(OR(C21="",D21=""),"",C21*D21)</x:f>
      </x:c>
      <x:c r="F21"/>
    </x:row>
    <x:row r="22">
      <x:c r="A22" t="str">
        <x:v>Galaxy S22</x:v>
      </x:c>
      <x:c r="B22" t="str">
        <x:v>Charging Port / Board</x:v>
      </x:c>
      <x:c r="C22" s="22"/>
      <x:c r="D22" s="18"/>
      <x:c r="E22" s="19" t="str">
        <x:f>IF(OR(C22="",D22=""),"",C22*D22)</x:f>
      </x:c>
      <x:c r="F22"/>
    </x:row>
    <x:row r="23">
      <x:c r="A23" t="str">
        <x:v>Galaxy S22+</x:v>
      </x:c>
      <x:c r="B23" t="str">
        <x:v>Charging Port / Board</x:v>
      </x:c>
      <x:c r="C23" s="22"/>
      <x:c r="D23" s="18"/>
      <x:c r="E23" s="19" t="str">
        <x:f>IF(OR(C23="",D23=""),"",C23*D23)</x:f>
      </x:c>
      <x:c r="F23"/>
    </x:row>
    <x:row r="24">
      <x:c r="A24" t="str">
        <x:v>Galaxy S22 Ultra</x:v>
      </x:c>
      <x:c r="B24" t="str">
        <x:v>Charging Port / Board</x:v>
      </x:c>
      <x:c r="C24" s="22"/>
      <x:c r="D24" s="18"/>
      <x:c r="E24" s="19" t="str">
        <x:f>IF(OR(C24="",D24=""),"",C24*D24)</x:f>
      </x:c>
      <x:c r="F24"/>
    </x:row>
    <x:row r="25">
      <x:c r="A25" t="str">
        <x:v>Galaxy S23</x:v>
      </x:c>
      <x:c r="B25" t="str">
        <x:v>Charging Port / Board</x:v>
      </x:c>
      <x:c r="C25" s="22"/>
      <x:c r="D25" s="18"/>
      <x:c r="E25" s="19" t="str">
        <x:f>IF(OR(C25="",D25=""),"",C25*D25)</x:f>
      </x:c>
      <x:c r="F25"/>
    </x:row>
    <x:row r="26">
      <x:c r="A26" t="str">
        <x:v>Galaxy S23+</x:v>
      </x:c>
      <x:c r="B26" t="str">
        <x:v>Charging Port / Board</x:v>
      </x:c>
      <x:c r="C26" s="22"/>
      <x:c r="D26" s="18"/>
      <x:c r="E26" s="19" t="str">
        <x:f>IF(OR(C26="",D26=""),"",C26*D26)</x:f>
      </x:c>
      <x:c r="F26"/>
    </x:row>
    <x:row r="27">
      <x:c r="A27" t="str">
        <x:v>Galaxy S23 Ultra</x:v>
      </x:c>
      <x:c r="B27" t="str">
        <x:v>Charging Port / Board</x:v>
      </x:c>
      <x:c r="C27" s="22"/>
      <x:c r="D27" s="18"/>
      <x:c r="E27" s="19" t="str">
        <x:f>IF(OR(C27="",D27=""),"",C27*D27)</x:f>
      </x:c>
      <x:c r="F27"/>
    </x:row>
    <x:row r="28">
      <x:c r="A28" t="str">
        <x:v>Galaxy S23 FE</x:v>
      </x:c>
      <x:c r="B28" t="str">
        <x:v>Charging Port / Board</x:v>
      </x:c>
      <x:c r="C28" s="22"/>
      <x:c r="D28" s="18"/>
      <x:c r="E28" s="19" t="str">
        <x:f>IF(OR(C28="",D28=""),"",C28*D28)</x:f>
      </x:c>
      <x:c r="F28"/>
    </x:row>
    <x:row r="29">
      <x:c r="A29" t="str">
        <x:v>Galaxy S24</x:v>
      </x:c>
      <x:c r="B29" t="str">
        <x:v>Charging Port / Board</x:v>
      </x:c>
      <x:c r="C29" s="22"/>
      <x:c r="D29" s="18"/>
      <x:c r="E29" s="19" t="str">
        <x:f>IF(OR(C29="",D29=""),"",C29*D29)</x:f>
      </x:c>
      <x:c r="F29"/>
    </x:row>
    <x:row r="30">
      <x:c r="A30" t="str">
        <x:v>Galaxy S24+</x:v>
      </x:c>
      <x:c r="B30" t="str">
        <x:v>Charging Port / Board</x:v>
      </x:c>
      <x:c r="C30" s="22"/>
      <x:c r="D30" s="18"/>
      <x:c r="E30" s="19" t="str">
        <x:f>IF(OR(C30="",D30=""),"",C30*D30)</x:f>
      </x:c>
      <x:c r="F30"/>
    </x:row>
    <x:row r="31">
      <x:c r="A31" t="str">
        <x:v>Galaxy S24 Ultra</x:v>
      </x:c>
      <x:c r="B31" t="str">
        <x:v>Charging Port / Board</x:v>
      </x:c>
      <x:c r="C31" s="22"/>
      <x:c r="D31" s="18"/>
      <x:c r="E31" s="19" t="str">
        <x:f>IF(OR(C31="",D31=""),"",C31*D31)</x:f>
      </x:c>
      <x:c r="F31"/>
    </x:row>
    <x:row r="32">
      <x:c r="A32" t="str">
        <x:v>Galaxy S24 FE</x:v>
      </x:c>
      <x:c r="B32" t="str">
        <x:v>Charging Port / Board</x:v>
      </x:c>
      <x:c r="C32" s="22"/>
      <x:c r="D32" s="18"/>
      <x:c r="E32" s="19" t="str">
        <x:f>IF(OR(C32="",D32=""),"",C32*D32)</x:f>
      </x:c>
      <x:c r="F32"/>
    </x:row>
    <x:row r="33">
      <x:c r="A33" t="str">
        <x:v>Galaxy S25</x:v>
      </x:c>
      <x:c r="B33" t="str">
        <x:v>Charging Port / Board</x:v>
      </x:c>
      <x:c r="C33" s="22"/>
      <x:c r="D33" s="18"/>
      <x:c r="E33" s="19" t="str">
        <x:f>IF(OR(C33="",D33=""),"",C33*D33)</x:f>
      </x:c>
      <x:c r="F33"/>
    </x:row>
    <x:row r="34">
      <x:c r="A34" t="str">
        <x:v>Galaxy S25+</x:v>
      </x:c>
      <x:c r="B34" t="str">
        <x:v>Charging Port / Board</x:v>
      </x:c>
      <x:c r="C34" s="22"/>
      <x:c r="D34" s="18"/>
      <x:c r="E34" s="19" t="str">
        <x:f>IF(OR(C34="",D34=""),"",C34*D34)</x:f>
      </x:c>
      <x:c r="F34"/>
    </x:row>
    <x:row r="35">
      <x:c r="A35" t="str">
        <x:v>Galaxy S25 Ultra</x:v>
      </x:c>
      <x:c r="B35" t="str">
        <x:v>Charging Port / Board</x:v>
      </x:c>
      <x:c r="C35" s="22"/>
      <x:c r="D35" s="18"/>
      <x:c r="E35" s="19" t="str">
        <x:f>IF(OR(C35="",D35=""),"",C35*D35)</x:f>
      </x:c>
      <x:c r="F35"/>
    </x:row>
    <x:row r="36">
      <x:c r="A36" t="str">
        <x:v>Galaxy S25 Edge</x:v>
      </x:c>
      <x:c r="B36" t="str">
        <x:v>Charging Port / Board</x:v>
      </x:c>
      <x:c r="C36" s="22"/>
      <x:c r="D36" s="18"/>
      <x:c r="E36" s="19" t="str">
        <x:f>IF(OR(C36="",D36=""),"",C36*D36)</x:f>
      </x:c>
      <x:c r="F36"/>
    </x:row>
    <x:row r="37">
      <x:c r="A37" t="str">
        <x:v>Galaxy S25 FE</x:v>
      </x:c>
      <x:c r="B37" t="str">
        <x:v>Charging Port / Board</x:v>
      </x:c>
      <x:c r="C37" s="22"/>
      <x:c r="D37" s="18"/>
      <x:c r="E37" s="19" t="str">
        <x:f>IF(OR(C37="",D37=""),"",C37*D37)</x:f>
      </x:c>
      <x:c r="F37"/>
    </x:row>
    <x:row r="38">
      <x:c r="A38" t="str">
        <x:v>Galaxy S26</x:v>
      </x:c>
      <x:c r="B38" t="str">
        <x:v>Charging Port / Board</x:v>
      </x:c>
      <x:c r="C38" s="22"/>
      <x:c r="D38" s="18"/>
      <x:c r="E38" s="19" t="str">
        <x:f>IF(OR(C38="",D38=""),"",C38*D38)</x:f>
      </x:c>
      <x:c r="F38"/>
    </x:row>
    <x:row r="39">
      <x:c r="A39" t="str">
        <x:v>Galaxy S26+</x:v>
      </x:c>
      <x:c r="B39" t="str">
        <x:v>Charging Port / Board</x:v>
      </x:c>
      <x:c r="C39" s="22"/>
      <x:c r="D39" s="18"/>
      <x:c r="E39" s="19" t="str">
        <x:f>IF(OR(C39="",D39=""),"",C39*D39)</x:f>
      </x:c>
      <x:c r="F39"/>
    </x:row>
    <x:row r="40">
      <x:c r="A40" t="str">
        <x:v>Galaxy S26 Ultra</x:v>
      </x:c>
      <x:c r="B40" t="str">
        <x:v>Charging Port / Board</x:v>
      </x:c>
      <x:c r="C40" s="22"/>
      <x:c r="D40" s="18"/>
      <x:c r="E40" s="19" t="str">
        <x:f>IF(OR(C40="",D40=""),"",C40*D40)</x:f>
      </x:c>
      <x:c r="F40"/>
    </x:row>
    <x:row r="41">
      <x:c r="A41" t="str">
        <x:v>Galaxy Note 8</x:v>
      </x:c>
      <x:c r="B41" t="str">
        <x:v>Charging Port / Board</x:v>
      </x:c>
      <x:c r="C41" s="22"/>
      <x:c r="D41" s="18"/>
      <x:c r="E41" s="19" t="str">
        <x:f>IF(OR(C41="",D41=""),"",C41*D41)</x:f>
      </x:c>
      <x:c r="F41"/>
    </x:row>
    <x:row r="42">
      <x:c r="A42" t="str">
        <x:v>Galaxy Note 9</x:v>
      </x:c>
      <x:c r="B42" t="str">
        <x:v>Charging Port / Board</x:v>
      </x:c>
      <x:c r="C42" s="22"/>
      <x:c r="D42" s="18"/>
      <x:c r="E42" s="19" t="str">
        <x:f>IF(OR(C42="",D42=""),"",C42*D42)</x:f>
      </x:c>
      <x:c r="F42"/>
    </x:row>
    <x:row r="43">
      <x:c r="A43" t="str">
        <x:v>Galaxy Note 10</x:v>
      </x:c>
      <x:c r="B43" t="str">
        <x:v>Charging Port / Board</x:v>
      </x:c>
      <x:c r="C43" s="22"/>
      <x:c r="D43" s="18"/>
      <x:c r="E43" s="19" t="str">
        <x:f>IF(OR(C43="",D43=""),"",C43*D43)</x:f>
      </x:c>
      <x:c r="F43"/>
    </x:row>
    <x:row r="44">
      <x:c r="A44" t="str">
        <x:v>Galaxy Note 10+</x:v>
      </x:c>
      <x:c r="B44" t="str">
        <x:v>Charging Port / Board</x:v>
      </x:c>
      <x:c r="C44" s="22"/>
      <x:c r="D44" s="18"/>
      <x:c r="E44" s="19" t="str">
        <x:f>IF(OR(C44="",D44=""),"",C44*D44)</x:f>
      </x:c>
      <x:c r="F44"/>
    </x:row>
    <x:row r="45">
      <x:c r="A45" t="str">
        <x:v>Galaxy Note 20</x:v>
      </x:c>
      <x:c r="B45" t="str">
        <x:v>Charging Port / Board</x:v>
      </x:c>
      <x:c r="C45" s="22"/>
      <x:c r="D45" s="18"/>
      <x:c r="E45" s="19" t="str">
        <x:f>IF(OR(C45="",D45=""),"",C45*D45)</x:f>
      </x:c>
      <x:c r="F45"/>
    </x:row>
    <x:row r="46">
      <x:c r="A46" t="str">
        <x:v>Galaxy Note 20 Ultra</x:v>
      </x:c>
      <x:c r="B46" t="str">
        <x:v>Charging Port / Board</x:v>
      </x:c>
      <x:c r="C46" s="22"/>
      <x:c r="D46" s="18"/>
      <x:c r="E46" s="19" t="str">
        <x:f>IF(OR(C46="",D46=""),"",C46*D46)</x:f>
      </x:c>
      <x:c r="F46"/>
    </x:row>
    <x:row r="47">
      <x:c r="A47" t="str">
        <x:v>Galaxy A10</x:v>
      </x:c>
      <x:c r="B47" t="str">
        <x:v>Charging Port / Board</x:v>
      </x:c>
      <x:c r="C47" s="22"/>
      <x:c r="D47" s="18"/>
      <x:c r="E47" s="19" t="str">
        <x:f>IF(OR(C47="",D47=""),"",C47*D47)</x:f>
      </x:c>
      <x:c r="F47"/>
    </x:row>
    <x:row r="48">
      <x:c r="A48" t="str">
        <x:v>Galaxy A10s</x:v>
      </x:c>
      <x:c r="B48" t="str">
        <x:v>Charging Port / Board</x:v>
      </x:c>
      <x:c r="C48" s="22"/>
      <x:c r="D48" s="18"/>
      <x:c r="E48" s="19" t="str">
        <x:f>IF(OR(C48="",D48=""),"",C48*D48)</x:f>
      </x:c>
      <x:c r="F48"/>
    </x:row>
    <x:row r="49">
      <x:c r="A49" t="str">
        <x:v>Galaxy A11</x:v>
      </x:c>
      <x:c r="B49" t="str">
        <x:v>Charging Port / Board</x:v>
      </x:c>
      <x:c r="C49" s="22"/>
      <x:c r="D49" s="18"/>
      <x:c r="E49" s="19" t="str">
        <x:f>IF(OR(C49="",D49=""),"",C49*D49)</x:f>
      </x:c>
      <x:c r="F49"/>
    </x:row>
    <x:row r="50">
      <x:c r="A50" t="str">
        <x:v>Galaxy A12</x:v>
      </x:c>
      <x:c r="B50" t="str">
        <x:v>Charging Port / Board</x:v>
      </x:c>
      <x:c r="C50" s="22"/>
      <x:c r="D50" s="18"/>
      <x:c r="E50" s="19" t="str">
        <x:f>IF(OR(C50="",D50=""),"",C50*D50)</x:f>
      </x:c>
      <x:c r="F50"/>
    </x:row>
    <x:row r="51">
      <x:c r="A51" t="str">
        <x:v>Galaxy A13</x:v>
      </x:c>
      <x:c r="B51" t="str">
        <x:v>Charging Port / Board</x:v>
      </x:c>
      <x:c r="C51" s="22"/>
      <x:c r="D51" s="18"/>
      <x:c r="E51" s="19" t="str">
        <x:f>IF(OR(C51="",D51=""),"",C51*D51)</x:f>
      </x:c>
      <x:c r="F51"/>
    </x:row>
    <x:row r="52">
      <x:c r="A52" t="str">
        <x:v>Galaxy A14</x:v>
      </x:c>
      <x:c r="B52" t="str">
        <x:v>Charging Port / Board</x:v>
      </x:c>
      <x:c r="C52" s="22"/>
      <x:c r="D52" s="18"/>
      <x:c r="E52" s="19" t="str">
        <x:f>IF(OR(C52="",D52=""),"",C52*D52)</x:f>
      </x:c>
      <x:c r="F52"/>
    </x:row>
    <x:row r="53">
      <x:c r="A53" t="str">
        <x:v>Galaxy A15</x:v>
      </x:c>
      <x:c r="B53" t="str">
        <x:v>Charging Port / Board</x:v>
      </x:c>
      <x:c r="C53" s="22"/>
      <x:c r="D53" s="18"/>
      <x:c r="E53" s="19" t="str">
        <x:f>IF(OR(C53="",D53=""),"",C53*D53)</x:f>
      </x:c>
      <x:c r="F53"/>
    </x:row>
    <x:row r="54">
      <x:c r="A54" t="str">
        <x:v>Galaxy A16</x:v>
      </x:c>
      <x:c r="B54" t="str">
        <x:v>Charging Port / Board</x:v>
      </x:c>
      <x:c r="C54" s="22"/>
      <x:c r="D54" s="18"/>
      <x:c r="E54" s="19" t="str">
        <x:f>IF(OR(C54="",D54=""),"",C54*D54)</x:f>
      </x:c>
      <x:c r="F54"/>
    </x:row>
    <x:row r="55">
      <x:c r="A55" t="str">
        <x:v>Galaxy A17</x:v>
      </x:c>
      <x:c r="B55" t="str">
        <x:v>Charging Port / Board</x:v>
      </x:c>
      <x:c r="C55" s="22"/>
      <x:c r="D55" s="18"/>
      <x:c r="E55" s="19" t="str">
        <x:f>IF(OR(C55="",D55=""),"",C55*D55)</x:f>
      </x:c>
      <x:c r="F55"/>
    </x:row>
    <x:row r="56">
      <x:c r="A56" t="str">
        <x:v>Galaxy A20</x:v>
      </x:c>
      <x:c r="B56" t="str">
        <x:v>Charging Port / Board</x:v>
      </x:c>
      <x:c r="C56" s="22"/>
      <x:c r="D56" s="18"/>
      <x:c r="E56" s="19" t="str">
        <x:f>IF(OR(C56="",D56=""),"",C56*D56)</x:f>
      </x:c>
      <x:c r="F56"/>
    </x:row>
    <x:row r="57">
      <x:c r="A57" t="str">
        <x:v>Galaxy A20e</x:v>
      </x:c>
      <x:c r="B57" t="str">
        <x:v>Charging Port / Board</x:v>
      </x:c>
      <x:c r="C57" s="22"/>
      <x:c r="D57" s="18"/>
      <x:c r="E57" s="19" t="str">
        <x:f>IF(OR(C57="",D57=""),"",C57*D57)</x:f>
      </x:c>
      <x:c r="F57"/>
    </x:row>
    <x:row r="58">
      <x:c r="A58" t="str">
        <x:v>Galaxy A21s</x:v>
      </x:c>
      <x:c r="B58" t="str">
        <x:v>Charging Port / Board</x:v>
      </x:c>
      <x:c r="C58" s="22"/>
      <x:c r="D58" s="18"/>
      <x:c r="E58" s="19" t="str">
        <x:f>IF(OR(C58="",D58=""),"",C58*D58)</x:f>
      </x:c>
      <x:c r="F58"/>
    </x:row>
    <x:row r="59">
      <x:c r="A59" t="str">
        <x:v>Galaxy A22</x:v>
      </x:c>
      <x:c r="B59" t="str">
        <x:v>Charging Port / Board</x:v>
      </x:c>
      <x:c r="C59" s="22"/>
      <x:c r="D59" s="18"/>
      <x:c r="E59" s="19" t="str">
        <x:f>IF(OR(C59="",D59=""),"",C59*D59)</x:f>
      </x:c>
      <x:c r="F59"/>
    </x:row>
    <x:row r="60">
      <x:c r="A60" t="str">
        <x:v>Galaxy A23</x:v>
      </x:c>
      <x:c r="B60" t="str">
        <x:v>Charging Port / Board</x:v>
      </x:c>
      <x:c r="C60" s="22"/>
      <x:c r="D60" s="18"/>
      <x:c r="E60" s="19" t="str">
        <x:f>IF(OR(C60="",D60=""),"",C60*D60)</x:f>
      </x:c>
      <x:c r="F60"/>
    </x:row>
    <x:row r="61">
      <x:c r="A61" t="str">
        <x:v>Galaxy A24</x:v>
      </x:c>
      <x:c r="B61" t="str">
        <x:v>Charging Port / Board</x:v>
      </x:c>
      <x:c r="C61" s="22"/>
      <x:c r="D61" s="18"/>
      <x:c r="E61" s="19" t="str">
        <x:f>IF(OR(C61="",D61=""),"",C61*D61)</x:f>
      </x:c>
      <x:c r="F61"/>
    </x:row>
    <x:row r="62">
      <x:c r="A62" t="str">
        <x:v>Galaxy A25</x:v>
      </x:c>
      <x:c r="B62" t="str">
        <x:v>Charging Port / Board</x:v>
      </x:c>
      <x:c r="C62" s="22"/>
      <x:c r="D62" s="18"/>
      <x:c r="E62" s="19" t="str">
        <x:f>IF(OR(C62="",D62=""),"",C62*D62)</x:f>
      </x:c>
      <x:c r="F62"/>
    </x:row>
    <x:row r="63">
      <x:c r="A63" t="str">
        <x:v>Galaxy A26</x:v>
      </x:c>
      <x:c r="B63" t="str">
        <x:v>Charging Port / Board</x:v>
      </x:c>
      <x:c r="C63" s="22"/>
      <x:c r="D63" s="18"/>
      <x:c r="E63" s="19" t="str">
        <x:f>IF(OR(C63="",D63=""),"",C63*D63)</x:f>
      </x:c>
      <x:c r="F63"/>
    </x:row>
    <x:row r="64">
      <x:c r="A64" t="str">
        <x:v>Galaxy A30</x:v>
      </x:c>
      <x:c r="B64" t="str">
        <x:v>Charging Port / Board</x:v>
      </x:c>
      <x:c r="C64" s="22"/>
      <x:c r="D64" s="18"/>
      <x:c r="E64" s="19" t="str">
        <x:f>IF(OR(C64="",D64=""),"",C64*D64)</x:f>
      </x:c>
      <x:c r="F64"/>
    </x:row>
    <x:row r="65">
      <x:c r="A65" t="str">
        <x:v>Galaxy A30s</x:v>
      </x:c>
      <x:c r="B65" t="str">
        <x:v>Charging Port / Board</x:v>
      </x:c>
      <x:c r="C65" s="22"/>
      <x:c r="D65" s="18"/>
      <x:c r="E65" s="19" t="str">
        <x:f>IF(OR(C65="",D65=""),"",C65*D65)</x:f>
      </x:c>
      <x:c r="F65"/>
    </x:row>
    <x:row r="66">
      <x:c r="A66" t="str">
        <x:v>Galaxy A31</x:v>
      </x:c>
      <x:c r="B66" t="str">
        <x:v>Charging Port / Board</x:v>
      </x:c>
      <x:c r="C66" s="22"/>
      <x:c r="D66" s="18"/>
      <x:c r="E66" s="19" t="str">
        <x:f>IF(OR(C66="",D66=""),"",C66*D66)</x:f>
      </x:c>
      <x:c r="F66"/>
    </x:row>
    <x:row r="67">
      <x:c r="A67" t="str">
        <x:v>Galaxy A32</x:v>
      </x:c>
      <x:c r="B67" t="str">
        <x:v>Charging Port / Board</x:v>
      </x:c>
      <x:c r="C67" s="22"/>
      <x:c r="D67" s="18"/>
      <x:c r="E67" s="19" t="str">
        <x:f>IF(OR(C67="",D67=""),"",C67*D67)</x:f>
      </x:c>
      <x:c r="F67"/>
    </x:row>
    <x:row r="68">
      <x:c r="A68" t="str">
        <x:v>Galaxy A33</x:v>
      </x:c>
      <x:c r="B68" t="str">
        <x:v>Charging Port / Board</x:v>
      </x:c>
      <x:c r="C68" s="22"/>
      <x:c r="D68" s="18"/>
      <x:c r="E68" s="19" t="str">
        <x:f>IF(OR(C68="",D68=""),"",C68*D68)</x:f>
      </x:c>
      <x:c r="F68"/>
    </x:row>
    <x:row r="69">
      <x:c r="A69" t="str">
        <x:v>Galaxy A34</x:v>
      </x:c>
      <x:c r="B69" t="str">
        <x:v>Charging Port / Board</x:v>
      </x:c>
      <x:c r="C69" s="22"/>
      <x:c r="D69" s="18"/>
      <x:c r="E69" s="19" t="str">
        <x:f>IF(OR(C69="",D69=""),"",C69*D69)</x:f>
      </x:c>
      <x:c r="F69"/>
    </x:row>
    <x:row r="70">
      <x:c r="A70" t="str">
        <x:v>Galaxy A35</x:v>
      </x:c>
      <x:c r="B70" t="str">
        <x:v>Charging Port / Board</x:v>
      </x:c>
      <x:c r="C70" s="22"/>
      <x:c r="D70" s="18"/>
      <x:c r="E70" s="19" t="str">
        <x:f>IF(OR(C70="",D70=""),"",C70*D70)</x:f>
      </x:c>
      <x:c r="F70"/>
    </x:row>
    <x:row r="71">
      <x:c r="A71" t="str">
        <x:v>Galaxy A36</x:v>
      </x:c>
      <x:c r="B71" t="str">
        <x:v>Charging Port / Board</x:v>
      </x:c>
      <x:c r="C71" s="22"/>
      <x:c r="D71" s="18"/>
      <x:c r="E71" s="19" t="str">
        <x:f>IF(OR(C71="",D71=""),"",C71*D71)</x:f>
      </x:c>
      <x:c r="F71"/>
    </x:row>
    <x:row r="72">
      <x:c r="A72" t="str">
        <x:v>Galaxy A50</x:v>
      </x:c>
      <x:c r="B72" t="str">
        <x:v>Charging Port / Board</x:v>
      </x:c>
      <x:c r="C72" s="22"/>
      <x:c r="D72" s="18"/>
      <x:c r="E72" s="19" t="str">
        <x:f>IF(OR(C72="",D72=""),"",C72*D72)</x:f>
      </x:c>
      <x:c r="F72"/>
    </x:row>
    <x:row r="73">
      <x:c r="A73" t="str">
        <x:v>Galaxy A51</x:v>
      </x:c>
      <x:c r="B73" t="str">
        <x:v>Charging Port / Board</x:v>
      </x:c>
      <x:c r="C73" s="22"/>
      <x:c r="D73" s="18"/>
      <x:c r="E73" s="19" t="str">
        <x:f>IF(OR(C73="",D73=""),"",C73*D73)</x:f>
      </x:c>
      <x:c r="F73"/>
    </x:row>
    <x:row r="74">
      <x:c r="A74" t="str">
        <x:v>Galaxy A52</x:v>
      </x:c>
      <x:c r="B74" t="str">
        <x:v>Charging Port / Board</x:v>
      </x:c>
      <x:c r="C74" s="22"/>
      <x:c r="D74" s="18"/>
      <x:c r="E74" s="19" t="str">
        <x:f>IF(OR(C74="",D74=""),"",C74*D74)</x:f>
      </x:c>
      <x:c r="F74"/>
    </x:row>
    <x:row r="75">
      <x:c r="A75" t="str">
        <x:v>Galaxy A52s</x:v>
      </x:c>
      <x:c r="B75" t="str">
        <x:v>Charging Port / Board</x:v>
      </x:c>
      <x:c r="C75" s="22"/>
      <x:c r="D75" s="18"/>
      <x:c r="E75" s="19" t="str">
        <x:f>IF(OR(C75="",D75=""),"",C75*D75)</x:f>
      </x:c>
      <x:c r="F75"/>
    </x:row>
    <x:row r="76">
      <x:c r="A76" t="str">
        <x:v>Galaxy A53</x:v>
      </x:c>
      <x:c r="B76" t="str">
        <x:v>Charging Port / Board</x:v>
      </x:c>
      <x:c r="C76" s="22"/>
      <x:c r="D76" s="18"/>
      <x:c r="E76" s="19" t="str">
        <x:f>IF(OR(C76="",D76=""),"",C76*D76)</x:f>
      </x:c>
      <x:c r="F76"/>
    </x:row>
    <x:row r="77">
      <x:c r="A77" t="str">
        <x:v>Galaxy A54</x:v>
      </x:c>
      <x:c r="B77" t="str">
        <x:v>Charging Port / Board</x:v>
      </x:c>
      <x:c r="C77" s="22"/>
      <x:c r="D77" s="18"/>
      <x:c r="E77" s="19" t="str">
        <x:f>IF(OR(C77="",D77=""),"",C77*D77)</x:f>
      </x:c>
      <x:c r="F77"/>
    </x:row>
    <x:row r="78">
      <x:c r="A78" t="str">
        <x:v>Galaxy A55</x:v>
      </x:c>
      <x:c r="B78" t="str">
        <x:v>Charging Port / Board</x:v>
      </x:c>
      <x:c r="C78" s="22"/>
      <x:c r="D78" s="18"/>
      <x:c r="E78" s="19" t="str">
        <x:f>IF(OR(C78="",D78=""),"",C78*D78)</x:f>
      </x:c>
      <x:c r="F78"/>
    </x:row>
    <x:row r="79">
      <x:c r="A79" t="str">
        <x:v>Galaxy A56</x:v>
      </x:c>
      <x:c r="B79" t="str">
        <x:v>Charging Port / Board</x:v>
      </x:c>
      <x:c r="C79" s="22"/>
      <x:c r="D79" s="18"/>
      <x:c r="E79" s="19" t="str">
        <x:f>IF(OR(C79="",D79=""),"",C79*D79)</x:f>
      </x:c>
      <x:c r="F79"/>
    </x:row>
    <x:row r="80">
      <x:c r="A80" t="str">
        <x:v>Galaxy A70</x:v>
      </x:c>
      <x:c r="B80" t="str">
        <x:v>Charging Port / Board</x:v>
      </x:c>
      <x:c r="C80" s="22"/>
      <x:c r="D80" s="18"/>
      <x:c r="E80" s="19" t="str">
        <x:f>IF(OR(C80="",D80=""),"",C80*D80)</x:f>
      </x:c>
      <x:c r="F80"/>
    </x:row>
    <x:row r="81">
      <x:c r="A81" t="str">
        <x:v>Galaxy A71</x:v>
      </x:c>
      <x:c r="B81" t="str">
        <x:v>Charging Port / Board</x:v>
      </x:c>
      <x:c r="C81" s="22"/>
      <x:c r="D81" s="18"/>
      <x:c r="E81" s="19" t="str">
        <x:f>IF(OR(C81="",D81=""),"",C81*D81)</x:f>
      </x:c>
      <x:c r="F81"/>
    </x:row>
    <x:row r="82">
      <x:c r="A82" t="str">
        <x:v>Galaxy A72</x:v>
      </x:c>
      <x:c r="B82" t="str">
        <x:v>Charging Port / Board</x:v>
      </x:c>
      <x:c r="C82" s="22"/>
      <x:c r="D82" s="18"/>
      <x:c r="E82" s="19" t="str">
        <x:f>IF(OR(C82="",D82=""),"",C82*D82)</x:f>
      </x:c>
      <x:c r="F82"/>
    </x:row>
    <x:row r="83">
      <x:c r="A83" t="str">
        <x:v>Galaxy A73</x:v>
      </x:c>
      <x:c r="B83" t="str">
        <x:v>Charging Port / Board</x:v>
      </x:c>
      <x:c r="C83" s="22"/>
      <x:c r="D83" s="18"/>
      <x:c r="E83" s="19" t="str">
        <x:f>IF(OR(C83="",D83=""),"",C83*D83)</x:f>
      </x:c>
      <x:c r="F83"/>
    </x:row>
    <x:row r="84">
      <x:c r="A84" t="str">
        <x:v>Galaxy M12</x:v>
      </x:c>
      <x:c r="B84" t="str">
        <x:v>Charging Port / Board</x:v>
      </x:c>
      <x:c r="C84" s="22"/>
      <x:c r="D84" s="18"/>
      <x:c r="E84" s="19" t="str">
        <x:f>IF(OR(C84="",D84=""),"",C84*D84)</x:f>
      </x:c>
      <x:c r="F84"/>
    </x:row>
    <x:row r="85">
      <x:c r="A85" t="str">
        <x:v>Galaxy M13</x:v>
      </x:c>
      <x:c r="B85" t="str">
        <x:v>Charging Port / Board</x:v>
      </x:c>
      <x:c r="C85" s="22"/>
      <x:c r="D85" s="18"/>
      <x:c r="E85" s="19" t="str">
        <x:f>IF(OR(C85="",D85=""),"",C85*D85)</x:f>
      </x:c>
      <x:c r="F85"/>
    </x:row>
    <x:row r="86">
      <x:c r="A86" t="str">
        <x:v>Galaxy M14</x:v>
      </x:c>
      <x:c r="B86" t="str">
        <x:v>Charging Port / Board</x:v>
      </x:c>
      <x:c r="C86" s="22"/>
      <x:c r="D86" s="18"/>
      <x:c r="E86" s="19" t="str">
        <x:f>IF(OR(C86="",D86=""),"",C86*D86)</x:f>
      </x:c>
      <x:c r="F86"/>
    </x:row>
    <x:row r="87">
      <x:c r="A87" t="str">
        <x:v>Galaxy M15</x:v>
      </x:c>
      <x:c r="B87" t="str">
        <x:v>Charging Port / Board</x:v>
      </x:c>
      <x:c r="C87" s="22"/>
      <x:c r="D87" s="18"/>
      <x:c r="E87" s="19" t="str">
        <x:f>IF(OR(C87="",D87=""),"",C87*D87)</x:f>
      </x:c>
      <x:c r="F87"/>
    </x:row>
    <x:row r="88">
      <x:c r="A88" t="str">
        <x:v>Galaxy M21</x:v>
      </x:c>
      <x:c r="B88" t="str">
        <x:v>Charging Port / Board</x:v>
      </x:c>
      <x:c r="C88" s="22"/>
      <x:c r="D88" s="18"/>
      <x:c r="E88" s="19" t="str">
        <x:f>IF(OR(C88="",D88=""),"",C88*D88)</x:f>
      </x:c>
      <x:c r="F88"/>
    </x:row>
    <x:row r="89">
      <x:c r="A89" t="str">
        <x:v>Galaxy M31</x:v>
      </x:c>
      <x:c r="B89" t="str">
        <x:v>Charging Port / Board</x:v>
      </x:c>
      <x:c r="C89" s="22"/>
      <x:c r="D89" s="18"/>
      <x:c r="E89" s="19" t="str">
        <x:f>IF(OR(C89="",D89=""),"",C89*D89)</x:f>
      </x:c>
      <x:c r="F89"/>
    </x:row>
    <x:row r="90">
      <x:c r="A90" t="str">
        <x:v>Galaxy M32</x:v>
      </x:c>
      <x:c r="B90" t="str">
        <x:v>Charging Port / Board</x:v>
      </x:c>
      <x:c r="C90" s="22"/>
      <x:c r="D90" s="18"/>
      <x:c r="E90" s="19" t="str">
        <x:f>IF(OR(C90="",D90=""),"",C90*D90)</x:f>
      </x:c>
      <x:c r="F90"/>
    </x:row>
    <x:row r="91">
      <x:c r="A91" t="str">
        <x:v>Galaxy M33</x:v>
      </x:c>
      <x:c r="B91" t="str">
        <x:v>Charging Port / Board</x:v>
      </x:c>
      <x:c r="C91" s="22"/>
      <x:c r="D91" s="18"/>
      <x:c r="E91" s="19" t="str">
        <x:f>IF(OR(C91="",D91=""),"",C91*D91)</x:f>
      </x:c>
      <x:c r="F91"/>
    </x:row>
    <x:row r="92">
      <x:c r="A92" t="str">
        <x:v>Galaxy M34</x:v>
      </x:c>
      <x:c r="B92" t="str">
        <x:v>Charging Port / Board</x:v>
      </x:c>
      <x:c r="C92" s="22"/>
      <x:c r="D92" s="18"/>
      <x:c r="E92" s="19" t="str">
        <x:f>IF(OR(C92="",D92=""),"",C92*D92)</x:f>
      </x:c>
      <x:c r="F92"/>
    </x:row>
    <x:row r="93">
      <x:c r="A93" t="str">
        <x:v>Galaxy M35</x:v>
      </x:c>
      <x:c r="B93" t="str">
        <x:v>Charging Port / Board</x:v>
      </x:c>
      <x:c r="C93" s="22"/>
      <x:c r="D93" s="18"/>
      <x:c r="E93" s="19" t="str">
        <x:f>IF(OR(C93="",D93=""),"",C93*D93)</x:f>
      </x:c>
      <x:c r="F93"/>
    </x:row>
    <x:row r="94">
      <x:c r="A94" t="str">
        <x:v>Galaxy Z Flip3</x:v>
      </x:c>
      <x:c r="B94" t="str">
        <x:v>Charging Port / Board</x:v>
      </x:c>
      <x:c r="C94" s="22"/>
      <x:c r="D94" s="18"/>
      <x:c r="E94" s="19" t="str">
        <x:f>IF(OR(C94="",D94=""),"",C94*D94)</x:f>
      </x:c>
      <x:c r="F94"/>
    </x:row>
    <x:row r="95">
      <x:c r="A95" t="str">
        <x:v>Galaxy Z Flip4</x:v>
      </x:c>
      <x:c r="B95" t="str">
        <x:v>Charging Port / Board</x:v>
      </x:c>
      <x:c r="C95" s="22"/>
      <x:c r="D95" s="18"/>
      <x:c r="E95" s="19" t="str">
        <x:f>IF(OR(C95="",D95=""),"",C95*D95)</x:f>
      </x:c>
      <x:c r="F95"/>
    </x:row>
    <x:row r="96">
      <x:c r="A96" t="str">
        <x:v>Galaxy Z Flip5</x:v>
      </x:c>
      <x:c r="B96" t="str">
        <x:v>Charging Port / Board</x:v>
      </x:c>
      <x:c r="C96" s="22"/>
      <x:c r="D96" s="18"/>
      <x:c r="E96" s="19" t="str">
        <x:f>IF(OR(C96="",D96=""),"",C96*D96)</x:f>
      </x:c>
      <x:c r="F96"/>
    </x:row>
    <x:row r="97">
      <x:c r="A97" t="str">
        <x:v>Galaxy Z Flip6</x:v>
      </x:c>
      <x:c r="B97" t="str">
        <x:v>Charging Port / Board</x:v>
      </x:c>
      <x:c r="C97" s="22"/>
      <x:c r="D97" s="18"/>
      <x:c r="E97" s="19" t="str">
        <x:f>IF(OR(C97="",D97=""),"",C97*D97)</x:f>
      </x:c>
      <x:c r="F97"/>
    </x:row>
    <x:row r="98">
      <x:c r="A98" t="str">
        <x:v>Galaxy Z Flip7</x:v>
      </x:c>
      <x:c r="B98" t="str">
        <x:v>Charging Port / Board</x:v>
      </x:c>
      <x:c r="C98" s="22"/>
      <x:c r="D98" s="18"/>
      <x:c r="E98" s="19" t="str">
        <x:f>IF(OR(C98="",D98=""),"",C98*D98)</x:f>
      </x:c>
      <x:c r="F98"/>
    </x:row>
    <x:row r="99">
      <x:c r="A99" t="str">
        <x:v>Galaxy Z Fold3</x:v>
      </x:c>
      <x:c r="B99" t="str">
        <x:v>Charging Port / Board</x:v>
      </x:c>
      <x:c r="C99" s="22"/>
      <x:c r="D99" s="18"/>
      <x:c r="E99" s="19" t="str">
        <x:f>IF(OR(C99="",D99=""),"",C99*D99)</x:f>
      </x:c>
      <x:c r="F99"/>
    </x:row>
    <x:row r="100">
      <x:c r="A100" t="str">
        <x:v>Galaxy Z Fold4</x:v>
      </x:c>
      <x:c r="B100" t="str">
        <x:v>Charging Port / Board</x:v>
      </x:c>
      <x:c r="C100" s="22"/>
      <x:c r="D100" s="18"/>
      <x:c r="E100" s="19" t="str">
        <x:f>IF(OR(C100="",D100=""),"",C100*D100)</x:f>
      </x:c>
      <x:c r="F100"/>
    </x:row>
    <x:row r="101">
      <x:c r="A101" t="str">
        <x:v>Galaxy Z Fold5</x:v>
      </x:c>
      <x:c r="B101" t="str">
        <x:v>Charging Port / Board</x:v>
      </x:c>
      <x:c r="C101" s="22"/>
      <x:c r="D101" s="18"/>
      <x:c r="E101" s="19" t="str">
        <x:f>IF(OR(C101="",D101=""),"",C101*D101)</x:f>
      </x:c>
      <x:c r="F101"/>
    </x:row>
    <x:row r="102">
      <x:c r="A102" t="str">
        <x:v>Galaxy Z Fold6</x:v>
      </x:c>
      <x:c r="B102" t="str">
        <x:v>Charging Port / Board</x:v>
      </x:c>
      <x:c r="C102" s="22"/>
      <x:c r="D102" s="18"/>
      <x:c r="E102" s="19" t="str">
        <x:f>IF(OR(C102="",D102=""),"",C102*D102)</x:f>
      </x:c>
      <x:c r="F102"/>
    </x:row>
    <x:row r="103">
      <x:c r="A103" t="str">
        <x:v>Galaxy Z Fold7</x:v>
      </x:c>
      <x:c r="B103" t="str">
        <x:v>Charging Port / Board</x:v>
      </x:c>
      <x:c r="C103" s="22"/>
      <x:c r="D103" s="18"/>
      <x:c r="E103" s="19" t="str">
        <x:f>IF(OR(C103="",D103=""),"",C103*D103)</x:f>
      </x:c>
      <x:c r="F103"/>
    </x:row>
    <x:row r="104">
      <x:c r="D104" s="19"/>
      <x:c r="E104" s="19"/>
    </x:row>
    <x:row r="105" ht="30" customHeight="1">
      <x:c r="A105" s="10" t="str">
        <x:v>CATEGORY TOTAL (€)</x:v>
      </x:c>
      <x:c r="B105" s="10"/>
      <x:c r="C105" s="10"/>
      <x:c r="D105" s="25"/>
      <x:c r="E105" s="25" t="n">
        <x:f>SUM(E6:E103)</x:f>
        <x:v>0</x:v>
      </x:c>
      <x:c r="F105" s="10"/>
    </x:row>
  </x:sheetData>
  <x:mergeCells>
    <x:mergeCell ref="A1:F2"/>
    <x:mergeCell ref="A105:D105"/>
  </x:mergeCells>
  <x:pageMargins left="0.7" right="0.7" top="0.75" bottom="0.75" header="0.3" footer="0.3"/>
</x:worksheet>
</file>